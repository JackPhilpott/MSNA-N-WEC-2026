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cted.sharepoint.com/sites/IMPACTSEN-MCRCoordination/Documents partages/MCR Coordination/08. Openings/Cameroon/04. Conception de la recherche/04. Échantillon/02 SAMPLE/"/>
    </mc:Choice>
  </mc:AlternateContent>
  <xr:revisionPtr revIDLastSave="5" documentId="8_{0CB86D78-BB7E-4B54-8D28-3186C9669938}" xr6:coauthVersionLast="47" xr6:coauthVersionMax="47" xr10:uidLastSave="{096F6882-B5FF-4584-9FED-9AA777563516}"/>
  <bookViews>
    <workbookView xWindow="-120" yWindow="-16320" windowWidth="29040" windowHeight="15720" tabRatio="821" xr2:uid="{00000000-000D-0000-FFFF-FFFF00000000}"/>
  </bookViews>
  <sheets>
    <sheet name="Parametres" sheetId="72" r:id="rId1"/>
    <sheet name="host" sheetId="70" r:id="rId2"/>
    <sheet name="IDP" sheetId="58" r:id="rId3"/>
    <sheet name="ret" sheetId="76" r:id="rId4"/>
    <sheet name="ref" sheetId="75" r:id="rId5"/>
    <sheet name="sampling ZME" sheetId="74" r:id="rId6"/>
    <sheet name="Sheet1" sheetId="73" state="hidden" r:id="rId7"/>
  </sheets>
  <definedNames>
    <definedName name="_xlnm._FilterDatabase" localSheetId="1" hidden="1">host!$C$1:$S$48</definedName>
    <definedName name="_xlnm._FilterDatabase" localSheetId="2" hidden="1">IDP!$G$1:$R$48</definedName>
    <definedName name="_xlnm._FilterDatabase" localSheetId="4" hidden="1">ref!$G$1:$R$48</definedName>
    <definedName name="_xlnm._FilterDatabase" localSheetId="3" hidden="1">ret!$G$1:$R$48</definedName>
    <definedName name="_xlnm._FilterDatabase" localSheetId="6" hidden="1">Sheet1!$A$1:$J$300</definedName>
  </definedNames>
  <calcPr calcId="191028"/>
  <customWorkbookViews>
    <customWorkbookView name="Filtro 4" guid="{658AD00A-D3E8-4EB7-80D1-37A776DDA435}" maximized="1" windowWidth="0" windowHeight="0" activeSheetId="0"/>
    <customWorkbookView name="Filtro 5" guid="{17F894C2-C725-48CB-B65B-051A99219B7B}" maximized="1" windowWidth="0" windowHeight="0" activeSheetId="0"/>
    <customWorkbookView name="Filtro 1" guid="{67A93AB6-F088-4E82-818F-675DAE31860E}" maximized="1" windowWidth="0" windowHeight="0" activeSheetId="0"/>
    <customWorkbookView name="Filtro 2" guid="{4DD84085-6408-4666-A33C-29051FECE586}" maximized="1" windowWidth="0" windowHeight="0" activeSheetId="0"/>
    <customWorkbookView name="Filtro 3" guid="{78849608-A5F9-40BA-81AE-A5BBAA52405F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73" l="1"/>
  <c r="F4" i="73"/>
  <c r="F5" i="73"/>
  <c r="F6" i="73"/>
  <c r="F7" i="73"/>
  <c r="F8" i="73"/>
  <c r="F9" i="73"/>
  <c r="F10" i="73"/>
  <c r="F11" i="73"/>
  <c r="F12" i="73"/>
  <c r="F13" i="73"/>
  <c r="F14" i="73"/>
  <c r="F15" i="73"/>
  <c r="F16" i="73"/>
  <c r="F17" i="73"/>
  <c r="F18" i="73"/>
  <c r="F19" i="73"/>
  <c r="F20" i="73"/>
  <c r="F21" i="73"/>
  <c r="F22" i="73"/>
  <c r="F23" i="73"/>
  <c r="F24" i="73"/>
  <c r="F25" i="73"/>
  <c r="F26" i="73"/>
  <c r="F27" i="73"/>
  <c r="F28" i="73"/>
  <c r="F29" i="73"/>
  <c r="F30" i="73"/>
  <c r="F31" i="73"/>
  <c r="F32" i="73"/>
  <c r="F33" i="73"/>
  <c r="F34" i="73"/>
  <c r="F35" i="73"/>
  <c r="F36" i="73"/>
  <c r="F37" i="73"/>
  <c r="F38" i="73"/>
  <c r="F39" i="73"/>
  <c r="F40" i="73"/>
  <c r="F41" i="73"/>
  <c r="F42" i="73"/>
  <c r="F43" i="73"/>
  <c r="F44" i="73"/>
  <c r="F45" i="73"/>
  <c r="F46" i="73"/>
  <c r="F47" i="73"/>
  <c r="F48" i="73"/>
  <c r="F49" i="73"/>
  <c r="F50" i="73"/>
  <c r="F51" i="73"/>
  <c r="F52" i="73"/>
  <c r="F53" i="73"/>
  <c r="F54" i="73"/>
  <c r="F55" i="73"/>
  <c r="F56" i="73"/>
  <c r="F57" i="73"/>
  <c r="F58" i="73"/>
  <c r="F59" i="73"/>
  <c r="F60" i="73"/>
  <c r="F61" i="73"/>
  <c r="F62" i="73"/>
  <c r="F63" i="73"/>
  <c r="F64" i="73"/>
  <c r="F65" i="73"/>
  <c r="F66" i="73"/>
  <c r="F67" i="73"/>
  <c r="F68" i="73"/>
  <c r="F69" i="73"/>
  <c r="F70" i="73"/>
  <c r="F71" i="73"/>
  <c r="F72" i="73"/>
  <c r="F73" i="73"/>
  <c r="F74" i="73"/>
  <c r="F75" i="73"/>
  <c r="F76" i="73"/>
  <c r="F77" i="73"/>
  <c r="F78" i="73"/>
  <c r="F79" i="73"/>
  <c r="F80" i="73"/>
  <c r="F81" i="73"/>
  <c r="F82" i="73"/>
  <c r="F83" i="73"/>
  <c r="F84" i="73"/>
  <c r="F85" i="73"/>
  <c r="F86" i="73"/>
  <c r="F87" i="73"/>
  <c r="F88" i="73"/>
  <c r="F89" i="73"/>
  <c r="F90" i="73"/>
  <c r="F91" i="73"/>
  <c r="F92" i="73"/>
  <c r="F93" i="73"/>
  <c r="F94" i="73"/>
  <c r="F95" i="73"/>
  <c r="F96" i="73"/>
  <c r="F97" i="73"/>
  <c r="F98" i="73"/>
  <c r="F99" i="73"/>
  <c r="F100" i="73"/>
  <c r="F101" i="73"/>
  <c r="F102" i="73"/>
  <c r="F103" i="73"/>
  <c r="F104" i="73"/>
  <c r="F105" i="73"/>
  <c r="F106" i="73"/>
  <c r="F107" i="73"/>
  <c r="F108" i="73"/>
  <c r="F109" i="73"/>
  <c r="F110" i="73"/>
  <c r="F111" i="73"/>
  <c r="F112" i="73"/>
  <c r="F113" i="73"/>
  <c r="F114" i="73"/>
  <c r="F115" i="73"/>
  <c r="F116" i="73"/>
  <c r="F117" i="73"/>
  <c r="F118" i="73"/>
  <c r="F119" i="73"/>
  <c r="F120" i="73"/>
  <c r="F121" i="73"/>
  <c r="F122" i="73"/>
  <c r="F123" i="73"/>
  <c r="F124" i="73"/>
  <c r="F125" i="73"/>
  <c r="F126" i="73"/>
  <c r="F127" i="73"/>
  <c r="F128" i="73"/>
  <c r="F129" i="73"/>
  <c r="F130" i="73"/>
  <c r="F131" i="73"/>
  <c r="F132" i="73"/>
  <c r="F133" i="73"/>
  <c r="F134" i="73"/>
  <c r="F135" i="73"/>
  <c r="F136" i="73"/>
  <c r="F137" i="73"/>
  <c r="F138" i="73"/>
  <c r="F139" i="73"/>
  <c r="F140" i="73"/>
  <c r="F141" i="73"/>
  <c r="F142" i="73"/>
  <c r="F143" i="73"/>
  <c r="F144" i="73"/>
  <c r="F145" i="73"/>
  <c r="F146" i="73"/>
  <c r="F147" i="73"/>
  <c r="F148" i="73"/>
  <c r="F149" i="73"/>
  <c r="F150" i="73"/>
  <c r="F151" i="73"/>
  <c r="F152" i="73"/>
  <c r="F153" i="73"/>
  <c r="F154" i="73"/>
  <c r="F155" i="73"/>
  <c r="F156" i="73"/>
  <c r="F157" i="73"/>
  <c r="F158" i="73"/>
  <c r="F159" i="73"/>
  <c r="F160" i="73"/>
  <c r="F161" i="73"/>
  <c r="F162" i="73"/>
  <c r="F163" i="73"/>
  <c r="F164" i="73"/>
  <c r="F165" i="73"/>
  <c r="F166" i="73"/>
  <c r="F167" i="73"/>
  <c r="F168" i="73"/>
  <c r="F169" i="73"/>
  <c r="F170" i="73"/>
  <c r="F171" i="73"/>
  <c r="F172" i="73"/>
  <c r="F173" i="73"/>
  <c r="F174" i="73"/>
  <c r="F175" i="73"/>
  <c r="F176" i="73"/>
  <c r="F177" i="73"/>
  <c r="F178" i="73"/>
  <c r="F179" i="73"/>
  <c r="F180" i="73"/>
  <c r="F181" i="73"/>
  <c r="F182" i="73"/>
  <c r="F183" i="73"/>
  <c r="F184" i="73"/>
  <c r="F185" i="73"/>
  <c r="F186" i="73"/>
  <c r="F187" i="73"/>
  <c r="F188" i="73"/>
  <c r="F189" i="73"/>
  <c r="F190" i="73"/>
  <c r="F191" i="73"/>
  <c r="F192" i="73"/>
  <c r="F193" i="73"/>
  <c r="F194" i="73"/>
  <c r="F195" i="73"/>
  <c r="F196" i="73"/>
  <c r="F197" i="73"/>
  <c r="F198" i="73"/>
  <c r="F199" i="73"/>
  <c r="F200" i="73"/>
  <c r="F201" i="73"/>
  <c r="F202" i="73"/>
  <c r="F203" i="73"/>
  <c r="F204" i="73"/>
  <c r="F205" i="73"/>
  <c r="F206" i="73"/>
  <c r="F207" i="73"/>
  <c r="F208" i="73"/>
  <c r="F209" i="73"/>
  <c r="F210" i="73"/>
  <c r="F211" i="73"/>
  <c r="F212" i="73"/>
  <c r="F213" i="73"/>
  <c r="F214" i="73"/>
  <c r="F215" i="73"/>
  <c r="F216" i="73"/>
  <c r="F217" i="73"/>
  <c r="F218" i="73"/>
  <c r="F219" i="73"/>
  <c r="F220" i="73"/>
  <c r="F221" i="73"/>
  <c r="F222" i="73"/>
  <c r="F223" i="73"/>
  <c r="F224" i="73"/>
  <c r="F225" i="73"/>
  <c r="F226" i="73"/>
  <c r="F227" i="73"/>
  <c r="F228" i="73"/>
  <c r="F229" i="73"/>
  <c r="F230" i="73"/>
  <c r="F231" i="73"/>
  <c r="F232" i="73"/>
  <c r="F233" i="73"/>
  <c r="F234" i="73"/>
  <c r="F235" i="73"/>
  <c r="F236" i="73"/>
  <c r="F237" i="73"/>
  <c r="F238" i="73"/>
  <c r="F239" i="73"/>
  <c r="F240" i="73"/>
  <c r="F241" i="73"/>
  <c r="F242" i="73"/>
  <c r="F243" i="73"/>
  <c r="F244" i="73"/>
  <c r="F245" i="73"/>
  <c r="F246" i="73"/>
  <c r="F247" i="73"/>
  <c r="F248" i="73"/>
  <c r="F249" i="73"/>
  <c r="F250" i="73"/>
  <c r="F251" i="73"/>
  <c r="F252" i="73"/>
  <c r="F253" i="73"/>
  <c r="F254" i="73"/>
  <c r="F255" i="73"/>
  <c r="F256" i="73"/>
  <c r="F257" i="73"/>
  <c r="F258" i="73"/>
  <c r="F259" i="73"/>
  <c r="F260" i="73"/>
  <c r="F261" i="73"/>
  <c r="F262" i="73"/>
  <c r="F263" i="73"/>
  <c r="F264" i="73"/>
  <c r="F265" i="73"/>
  <c r="F266" i="73"/>
  <c r="F267" i="73"/>
  <c r="F268" i="73"/>
  <c r="F269" i="73"/>
  <c r="F270" i="73"/>
  <c r="F271" i="73"/>
  <c r="F272" i="73"/>
  <c r="F273" i="73"/>
  <c r="F274" i="73"/>
  <c r="F275" i="73"/>
  <c r="F276" i="73"/>
  <c r="F277" i="73"/>
  <c r="F278" i="73"/>
  <c r="F279" i="73"/>
  <c r="F280" i="73"/>
  <c r="F281" i="73"/>
  <c r="F282" i="73"/>
  <c r="F283" i="73"/>
  <c r="F284" i="73"/>
  <c r="F285" i="73"/>
  <c r="F286" i="73"/>
  <c r="F287" i="73"/>
  <c r="F288" i="73"/>
  <c r="F289" i="73"/>
  <c r="F290" i="73"/>
  <c r="F291" i="73"/>
  <c r="F292" i="73"/>
  <c r="F293" i="73"/>
  <c r="F294" i="73"/>
  <c r="F295" i="73"/>
  <c r="F296" i="73"/>
  <c r="F297" i="73"/>
  <c r="F298" i="73"/>
  <c r="F299" i="73"/>
  <c r="F300" i="73"/>
  <c r="F2" i="73"/>
  <c r="G231" i="73" l="1"/>
  <c r="H231" i="73" s="1"/>
  <c r="G230" i="73"/>
  <c r="H230" i="73" s="1"/>
  <c r="G27" i="73"/>
  <c r="H27" i="73" s="1"/>
  <c r="G176" i="73"/>
  <c r="H176" i="73" s="1"/>
  <c r="G282" i="73"/>
  <c r="H282" i="73" s="1"/>
  <c r="G71" i="73"/>
  <c r="H71" i="73" s="1"/>
  <c r="G112" i="73"/>
  <c r="H112" i="73" s="1"/>
  <c r="G167" i="73"/>
  <c r="H167" i="73" s="1"/>
  <c r="G158" i="73"/>
  <c r="H158" i="73" s="1"/>
  <c r="G222" i="73" l="1"/>
  <c r="H222" i="73" s="1"/>
  <c r="G241" i="73"/>
  <c r="H241" i="73" s="1"/>
  <c r="G216" i="73"/>
  <c r="H216" i="73" s="1"/>
  <c r="I216" i="73" s="1"/>
  <c r="J216" i="73" s="1"/>
  <c r="G243" i="73"/>
  <c r="H243" i="73" s="1"/>
  <c r="I243" i="73" s="1"/>
  <c r="J243" i="73" s="1"/>
  <c r="G232" i="73"/>
  <c r="H232" i="73" s="1"/>
  <c r="I232" i="73" s="1"/>
  <c r="J232" i="73" s="1"/>
  <c r="G223" i="73"/>
  <c r="H223" i="73" s="1"/>
  <c r="I223" i="73" s="1"/>
  <c r="J223" i="73" s="1"/>
  <c r="G239" i="73"/>
  <c r="H239" i="73" s="1"/>
  <c r="I239" i="73" s="1"/>
  <c r="J239" i="73" s="1"/>
  <c r="G82" i="73"/>
  <c r="H82" i="73" s="1"/>
  <c r="I82" i="73" s="1"/>
  <c r="J82" i="73" s="1"/>
  <c r="G148" i="73"/>
  <c r="H148" i="73" s="1"/>
  <c r="G189" i="73"/>
  <c r="H189" i="73" s="1"/>
  <c r="I189" i="73" s="1"/>
  <c r="J189" i="73" s="1"/>
  <c r="G152" i="73"/>
  <c r="H152" i="73" s="1"/>
  <c r="I152" i="73" s="1"/>
  <c r="J152" i="73" s="1"/>
  <c r="G104" i="73"/>
  <c r="H104" i="73" s="1"/>
  <c r="I104" i="73" s="1"/>
  <c r="J104" i="73" s="1"/>
  <c r="G106" i="73"/>
  <c r="H106" i="73" s="1"/>
  <c r="I106" i="73" s="1"/>
  <c r="J106" i="73" s="1"/>
  <c r="G75" i="73"/>
  <c r="H75" i="73" s="1"/>
  <c r="G84" i="73"/>
  <c r="H84" i="73" s="1"/>
  <c r="G86" i="73"/>
  <c r="H86" i="73" s="1"/>
  <c r="I86" i="73" s="1"/>
  <c r="J86" i="73" s="1"/>
  <c r="G53" i="73"/>
  <c r="H53" i="73" s="1"/>
  <c r="I53" i="73" s="1"/>
  <c r="J53" i="73" s="1"/>
  <c r="G79" i="73"/>
  <c r="H79" i="73" s="1"/>
  <c r="I79" i="73" s="1"/>
  <c r="J79" i="73" s="1"/>
  <c r="G203" i="73"/>
  <c r="H203" i="73" s="1"/>
  <c r="I203" i="73" s="1"/>
  <c r="J203" i="73" s="1"/>
  <c r="G209" i="73"/>
  <c r="H209" i="73" s="1"/>
  <c r="I209" i="73" s="1"/>
  <c r="J209" i="73" s="1"/>
  <c r="G157" i="73"/>
  <c r="H157" i="73" s="1"/>
  <c r="I157" i="73" s="1"/>
  <c r="J157" i="73" s="1"/>
  <c r="G29" i="73"/>
  <c r="H29" i="73" s="1"/>
  <c r="I29" i="73" s="1"/>
  <c r="J29" i="73" s="1"/>
  <c r="G135" i="73"/>
  <c r="H135" i="73" s="1"/>
  <c r="I135" i="73" s="1"/>
  <c r="J135" i="73" s="1"/>
  <c r="G98" i="73"/>
  <c r="H98" i="73" s="1"/>
  <c r="I98" i="73" s="1"/>
  <c r="J98" i="73" s="1"/>
  <c r="G119" i="73"/>
  <c r="H119" i="73" s="1"/>
  <c r="I119" i="73" s="1"/>
  <c r="J119" i="73" s="1"/>
  <c r="G83" i="73"/>
  <c r="H83" i="73" s="1"/>
  <c r="G87" i="73"/>
  <c r="H87" i="73" s="1"/>
  <c r="G129" i="73"/>
  <c r="H129" i="73" s="1"/>
  <c r="I129" i="73" s="1"/>
  <c r="J129" i="73" s="1"/>
  <c r="G89" i="73"/>
  <c r="H89" i="73" s="1"/>
  <c r="I89" i="73" s="1"/>
  <c r="J89" i="73" s="1"/>
  <c r="G122" i="73"/>
  <c r="H122" i="73" s="1"/>
  <c r="I122" i="73" s="1"/>
  <c r="J122" i="73" s="1"/>
  <c r="G70" i="73"/>
  <c r="H70" i="73" s="1"/>
  <c r="I70" i="73" s="1"/>
  <c r="J70" i="73" s="1"/>
  <c r="G102" i="73"/>
  <c r="H102" i="73" s="1"/>
  <c r="I102" i="73" s="1"/>
  <c r="J102" i="73" s="1"/>
  <c r="G113" i="73"/>
  <c r="H113" i="73" s="1"/>
  <c r="I113" i="73" s="1"/>
  <c r="J113" i="73" s="1"/>
  <c r="G291" i="73"/>
  <c r="H291" i="73" s="1"/>
  <c r="G208" i="73"/>
  <c r="H208" i="73" s="1"/>
  <c r="G205" i="73"/>
  <c r="H205" i="73" s="1"/>
  <c r="I205" i="73" s="1"/>
  <c r="J205" i="73" s="1"/>
  <c r="G220" i="73"/>
  <c r="H220" i="73" s="1"/>
  <c r="I220" i="73" s="1"/>
  <c r="J220" i="73" s="1"/>
  <c r="G285" i="73"/>
  <c r="H285" i="73" s="1"/>
  <c r="I285" i="73" s="1"/>
  <c r="J285" i="73" s="1"/>
  <c r="G279" i="73"/>
  <c r="H279" i="73" s="1"/>
  <c r="I279" i="73" s="1"/>
  <c r="J279" i="73" s="1"/>
  <c r="G8" i="73"/>
  <c r="H8" i="73" s="1"/>
  <c r="I8" i="73" s="1"/>
  <c r="J8" i="73" s="1"/>
  <c r="G10" i="73"/>
  <c r="H10" i="73" s="1"/>
  <c r="I10" i="73" s="1"/>
  <c r="J10" i="73" s="1"/>
  <c r="G3" i="73"/>
  <c r="H3" i="73" s="1"/>
  <c r="G21" i="73"/>
  <c r="H21" i="73" s="1"/>
  <c r="I21" i="73" s="1"/>
  <c r="J21" i="73" s="1"/>
  <c r="G22" i="73"/>
  <c r="H22" i="73" s="1"/>
  <c r="I22" i="73" s="1"/>
  <c r="J22" i="73" s="1"/>
  <c r="G25" i="73"/>
  <c r="H25" i="73" s="1"/>
  <c r="I25" i="73" s="1"/>
  <c r="J25" i="73" s="1"/>
  <c r="G80" i="73"/>
  <c r="H80" i="73" s="1"/>
  <c r="I80" i="73" s="1"/>
  <c r="J80" i="73" s="1"/>
  <c r="G103" i="73"/>
  <c r="H103" i="73" s="1"/>
  <c r="I103" i="73" s="1"/>
  <c r="J103" i="73" s="1"/>
  <c r="G73" i="73"/>
  <c r="H73" i="73" s="1"/>
  <c r="I73" i="73" s="1"/>
  <c r="J73" i="73" s="1"/>
  <c r="G94" i="73"/>
  <c r="H94" i="73" s="1"/>
  <c r="I94" i="73" s="1"/>
  <c r="J94" i="73" s="1"/>
  <c r="G64" i="73"/>
  <c r="H64" i="73" s="1"/>
  <c r="G67" i="73"/>
  <c r="H67" i="73" s="1"/>
  <c r="G99" i="73"/>
  <c r="H99" i="73" s="1"/>
  <c r="I99" i="73" s="1"/>
  <c r="J99" i="73" s="1"/>
  <c r="G50" i="73"/>
  <c r="H50" i="73" s="1"/>
  <c r="I50" i="73" s="1"/>
  <c r="J50" i="73" s="1"/>
  <c r="G92" i="73"/>
  <c r="H92" i="73" s="1"/>
  <c r="I92" i="73" s="1"/>
  <c r="J92" i="73" s="1"/>
  <c r="G165" i="73"/>
  <c r="H165" i="73" s="1"/>
  <c r="I165" i="73" s="1"/>
  <c r="J165" i="73" s="1"/>
  <c r="G132" i="73"/>
  <c r="H132" i="73" s="1"/>
  <c r="I132" i="73" s="1"/>
  <c r="J132" i="73" s="1"/>
  <c r="G143" i="73"/>
  <c r="H143" i="73" s="1"/>
  <c r="I143" i="73" s="1"/>
  <c r="J143" i="73" s="1"/>
  <c r="G171" i="73"/>
  <c r="H171" i="73" s="1"/>
  <c r="I171" i="73" s="1"/>
  <c r="J171" i="73" s="1"/>
  <c r="G181" i="73"/>
  <c r="H181" i="73" s="1"/>
  <c r="I181" i="73" s="1"/>
  <c r="J181" i="73" s="1"/>
  <c r="G147" i="73"/>
  <c r="H147" i="73" s="1"/>
  <c r="I147" i="73" s="1"/>
  <c r="J147" i="73" s="1"/>
  <c r="G160" i="73"/>
  <c r="H160" i="73" s="1"/>
  <c r="I160" i="73" s="1"/>
  <c r="J160" i="73" s="1"/>
  <c r="G187" i="73"/>
  <c r="H187" i="73" s="1"/>
  <c r="I187" i="73" s="1"/>
  <c r="J187" i="73" s="1"/>
  <c r="G214" i="73"/>
  <c r="H214" i="73" s="1"/>
  <c r="I214" i="73" s="1"/>
  <c r="J214" i="73" s="1"/>
  <c r="G192" i="73"/>
  <c r="H192" i="73" s="1"/>
  <c r="G161" i="73"/>
  <c r="H161" i="73" s="1"/>
  <c r="G258" i="73"/>
  <c r="H258" i="73" s="1"/>
  <c r="I258" i="73" s="1"/>
  <c r="J258" i="73" s="1"/>
  <c r="G256" i="73"/>
  <c r="H256" i="73" s="1"/>
  <c r="I256" i="73" s="1"/>
  <c r="J256" i="73" s="1"/>
  <c r="G275" i="73"/>
  <c r="H275" i="73" s="1"/>
  <c r="I275" i="73" s="1"/>
  <c r="J275" i="73" s="1"/>
  <c r="G257" i="73"/>
  <c r="H257" i="73" s="1"/>
  <c r="I257" i="73" s="1"/>
  <c r="J257" i="73" s="1"/>
  <c r="G247" i="73"/>
  <c r="H247" i="73" s="1"/>
  <c r="I247" i="73" s="1"/>
  <c r="J247" i="73" s="1"/>
  <c r="G261" i="73"/>
  <c r="H261" i="73" s="1"/>
  <c r="I261" i="73" s="1"/>
  <c r="J261" i="73" s="1"/>
  <c r="G154" i="73"/>
  <c r="H154" i="73" s="1"/>
  <c r="I154" i="73" s="1"/>
  <c r="J154" i="73" s="1"/>
  <c r="G204" i="73"/>
  <c r="H204" i="73" s="1"/>
  <c r="I204" i="73" s="1"/>
  <c r="J204" i="73" s="1"/>
  <c r="G202" i="73"/>
  <c r="H202" i="73" s="1"/>
  <c r="I202" i="73" s="1"/>
  <c r="J202" i="73" s="1"/>
  <c r="G156" i="73"/>
  <c r="H156" i="73" s="1"/>
  <c r="I156" i="73" s="1"/>
  <c r="J156" i="73" s="1"/>
  <c r="G125" i="73"/>
  <c r="H125" i="73" s="1"/>
  <c r="I125" i="73" s="1"/>
  <c r="J125" i="73" s="1"/>
  <c r="G153" i="73"/>
  <c r="H153" i="73" s="1"/>
  <c r="I153" i="73" s="1"/>
  <c r="J153" i="73" s="1"/>
  <c r="G179" i="73"/>
  <c r="H179" i="73" s="1"/>
  <c r="I179" i="73" s="1"/>
  <c r="J179" i="73" s="1"/>
  <c r="G151" i="73"/>
  <c r="H151" i="73" s="1"/>
  <c r="I151" i="73" s="1"/>
  <c r="J151" i="73" s="1"/>
  <c r="G142" i="73"/>
  <c r="H142" i="73" s="1"/>
  <c r="I142" i="73" s="1"/>
  <c r="J142" i="73" s="1"/>
  <c r="G155" i="73"/>
  <c r="H155" i="73" s="1"/>
  <c r="I155" i="73" s="1"/>
  <c r="J155" i="73" s="1"/>
  <c r="G193" i="73"/>
  <c r="H193" i="73" s="1"/>
  <c r="I193" i="73" s="1"/>
  <c r="J193" i="73" s="1"/>
  <c r="G170" i="73"/>
  <c r="H170" i="73" s="1"/>
  <c r="G212" i="73"/>
  <c r="H212" i="73" s="1"/>
  <c r="I212" i="73" s="1"/>
  <c r="J212" i="73" s="1"/>
  <c r="G172" i="73"/>
  <c r="H172" i="73" s="1"/>
  <c r="I172" i="73" s="1"/>
  <c r="J172" i="73" s="1"/>
  <c r="G175" i="73"/>
  <c r="H175" i="73" s="1"/>
  <c r="I175" i="73" s="1"/>
  <c r="J175" i="73" s="1"/>
  <c r="G42" i="73"/>
  <c r="H42" i="73" s="1"/>
  <c r="I42" i="73" s="1"/>
  <c r="J42" i="73" s="1"/>
  <c r="G56" i="73"/>
  <c r="H56" i="73" s="1"/>
  <c r="I56" i="73" s="1"/>
  <c r="J56" i="73" s="1"/>
  <c r="G114" i="73"/>
  <c r="H114" i="73" s="1"/>
  <c r="I114" i="73" s="1"/>
  <c r="J114" i="73" s="1"/>
  <c r="G68" i="73"/>
  <c r="H68" i="73" s="1"/>
  <c r="I68" i="73" s="1"/>
  <c r="J68" i="73" s="1"/>
  <c r="G43" i="73"/>
  <c r="H43" i="73" s="1"/>
  <c r="G116" i="73"/>
  <c r="H116" i="73" s="1"/>
  <c r="I116" i="73" s="1"/>
  <c r="J116" i="73" s="1"/>
  <c r="G38" i="73"/>
  <c r="H38" i="73" s="1"/>
  <c r="I38" i="73" s="1"/>
  <c r="J38" i="73" s="1"/>
  <c r="G48" i="73"/>
  <c r="H48" i="73" s="1"/>
  <c r="I48" i="73" s="1"/>
  <c r="J48" i="73" s="1"/>
  <c r="G108" i="73"/>
  <c r="H108" i="73" s="1"/>
  <c r="I108" i="73" s="1"/>
  <c r="J108" i="73" s="1"/>
  <c r="G77" i="73"/>
  <c r="H77" i="73" s="1"/>
  <c r="I77" i="73" s="1"/>
  <c r="J77" i="73" s="1"/>
  <c r="G40" i="73"/>
  <c r="H40" i="73" s="1"/>
  <c r="I40" i="73" s="1"/>
  <c r="J40" i="73" s="1"/>
  <c r="G69" i="73"/>
  <c r="H69" i="73" s="1"/>
  <c r="I69" i="73" s="1"/>
  <c r="J69" i="73" s="1"/>
  <c r="G90" i="73"/>
  <c r="H90" i="73" s="1"/>
  <c r="G178" i="73"/>
  <c r="H178" i="73" s="1"/>
  <c r="I178" i="73" s="1"/>
  <c r="J178" i="73" s="1"/>
  <c r="G213" i="73"/>
  <c r="H213" i="73" s="1"/>
  <c r="I213" i="73" s="1"/>
  <c r="J213" i="73" s="1"/>
  <c r="G185" i="73"/>
  <c r="H185" i="73" s="1"/>
  <c r="I185" i="73" s="1"/>
  <c r="J185" i="73" s="1"/>
  <c r="G221" i="73"/>
  <c r="H221" i="73" s="1"/>
  <c r="G109" i="73"/>
  <c r="H109" i="73" s="1"/>
  <c r="I109" i="73" s="1"/>
  <c r="J109" i="73" s="1"/>
  <c r="G173" i="73"/>
  <c r="H173" i="73" s="1"/>
  <c r="I173" i="73" s="1"/>
  <c r="J173" i="73" s="1"/>
  <c r="G199" i="73"/>
  <c r="H199" i="73" s="1"/>
  <c r="I199" i="73" s="1"/>
  <c r="J199" i="73" s="1"/>
  <c r="G139" i="73"/>
  <c r="H139" i="73" s="1"/>
  <c r="I139" i="73" s="1"/>
  <c r="J139" i="73" s="1"/>
  <c r="G162" i="73"/>
  <c r="H162" i="73" s="1"/>
  <c r="I162" i="73" s="1"/>
  <c r="J162" i="73" s="1"/>
  <c r="G200" i="73"/>
  <c r="H200" i="73" s="1"/>
  <c r="I200" i="73" s="1"/>
  <c r="J200" i="73" s="1"/>
  <c r="G140" i="73"/>
  <c r="H140" i="73" s="1"/>
  <c r="I140" i="73" s="1"/>
  <c r="J140" i="73" s="1"/>
  <c r="G191" i="73"/>
  <c r="H191" i="73" s="1"/>
  <c r="G183" i="73"/>
  <c r="H183" i="73" s="1"/>
  <c r="I183" i="73" s="1"/>
  <c r="J183" i="73" s="1"/>
  <c r="G33" i="73"/>
  <c r="H33" i="73" s="1"/>
  <c r="I33" i="73" s="1"/>
  <c r="J33" i="73" s="1"/>
  <c r="G49" i="73"/>
  <c r="H49" i="73" s="1"/>
  <c r="I49" i="73" s="1"/>
  <c r="J49" i="73" s="1"/>
  <c r="G45" i="73"/>
  <c r="H45" i="73" s="1"/>
  <c r="I45" i="73" s="1"/>
  <c r="J45" i="73" s="1"/>
  <c r="G74" i="73"/>
  <c r="H74" i="73" s="1"/>
  <c r="I74" i="73" s="1"/>
  <c r="J74" i="73" s="1"/>
  <c r="G127" i="73"/>
  <c r="H127" i="73" s="1"/>
  <c r="I127" i="73" s="1"/>
  <c r="J127" i="73" s="1"/>
  <c r="G37" i="73"/>
  <c r="H37" i="73" s="1"/>
  <c r="I37" i="73" s="1"/>
  <c r="J37" i="73" s="1"/>
  <c r="G96" i="73"/>
  <c r="H96" i="73" s="1"/>
  <c r="I96" i="73" s="1"/>
  <c r="J96" i="73" s="1"/>
  <c r="G97" i="73"/>
  <c r="H97" i="73" s="1"/>
  <c r="I97" i="73" s="1"/>
  <c r="J97" i="73" s="1"/>
  <c r="G31" i="73"/>
  <c r="H31" i="73" s="1"/>
  <c r="I31" i="73" s="1"/>
  <c r="J31" i="73" s="1"/>
  <c r="G52" i="73"/>
  <c r="H52" i="73" s="1"/>
  <c r="I52" i="73" s="1"/>
  <c r="J52" i="73" s="1"/>
  <c r="G78" i="73"/>
  <c r="H78" i="73" s="1"/>
  <c r="I78" i="73" s="1"/>
  <c r="J78" i="73" s="1"/>
  <c r="G110" i="73"/>
  <c r="H110" i="73" s="1"/>
  <c r="I110" i="73" s="1"/>
  <c r="J110" i="73" s="1"/>
  <c r="G252" i="73"/>
  <c r="H252" i="73" s="1"/>
  <c r="I252" i="73" s="1"/>
  <c r="J252" i="73" s="1"/>
  <c r="G297" i="73"/>
  <c r="H297" i="73" s="1"/>
  <c r="I297" i="73" s="1"/>
  <c r="J297" i="73" s="1"/>
  <c r="G242" i="73"/>
  <c r="H242" i="73" s="1"/>
  <c r="I242" i="73" s="1"/>
  <c r="J242" i="73" s="1"/>
  <c r="G295" i="73"/>
  <c r="H295" i="73" s="1"/>
  <c r="I295" i="73" s="1"/>
  <c r="J295" i="73" s="1"/>
  <c r="G296" i="73"/>
  <c r="H296" i="73" s="1"/>
  <c r="I296" i="73" s="1"/>
  <c r="J296" i="73" s="1"/>
  <c r="G281" i="73"/>
  <c r="H281" i="73" s="1"/>
  <c r="I281" i="73" s="1"/>
  <c r="J281" i="73" s="1"/>
  <c r="G278" i="73"/>
  <c r="H278" i="73" s="1"/>
  <c r="I278" i="73" s="1"/>
  <c r="J278" i="73" s="1"/>
  <c r="G274" i="73"/>
  <c r="H274" i="73" s="1"/>
  <c r="I274" i="73" s="1"/>
  <c r="J274" i="73" s="1"/>
  <c r="G283" i="73"/>
  <c r="H283" i="73" s="1"/>
  <c r="I283" i="73" s="1"/>
  <c r="J283" i="73" s="1"/>
  <c r="G287" i="73"/>
  <c r="H287" i="73" s="1"/>
  <c r="I287" i="73" s="1"/>
  <c r="J287" i="73" s="1"/>
  <c r="G280" i="73"/>
  <c r="H280" i="73" s="1"/>
  <c r="I280" i="73" s="1"/>
  <c r="J280" i="73" s="1"/>
  <c r="G81" i="73"/>
  <c r="H81" i="73" s="1"/>
  <c r="I81" i="73" s="1"/>
  <c r="J81" i="73" s="1"/>
  <c r="G95" i="73"/>
  <c r="H95" i="73" s="1"/>
  <c r="I95" i="73" s="1"/>
  <c r="J95" i="73" s="1"/>
  <c r="G107" i="73"/>
  <c r="H107" i="73" s="1"/>
  <c r="I107" i="73" s="1"/>
  <c r="J107" i="73" s="1"/>
  <c r="G117" i="73"/>
  <c r="H117" i="73" s="1"/>
  <c r="I117" i="73" s="1"/>
  <c r="J117" i="73" s="1"/>
  <c r="G76" i="73"/>
  <c r="H76" i="73" s="1"/>
  <c r="I76" i="73" s="1"/>
  <c r="J76" i="73" s="1"/>
  <c r="G123" i="73"/>
  <c r="H123" i="73" s="1"/>
  <c r="I123" i="73" s="1"/>
  <c r="J123" i="73" s="1"/>
  <c r="G197" i="73"/>
  <c r="H197" i="73" s="1"/>
  <c r="I197" i="73" s="1"/>
  <c r="J197" i="73" s="1"/>
  <c r="G218" i="73"/>
  <c r="H218" i="73" s="1"/>
  <c r="I218" i="73" s="1"/>
  <c r="J218" i="73" s="1"/>
  <c r="G226" i="73"/>
  <c r="H226" i="73" s="1"/>
  <c r="I226" i="73" s="1"/>
  <c r="J226" i="73" s="1"/>
  <c r="G196" i="73"/>
  <c r="H196" i="73" s="1"/>
  <c r="I196" i="73" s="1"/>
  <c r="J196" i="73" s="1"/>
  <c r="G88" i="73"/>
  <c r="H88" i="73" s="1"/>
  <c r="I88" i="73" s="1"/>
  <c r="J88" i="73" s="1"/>
  <c r="G118" i="73"/>
  <c r="H118" i="73" s="1"/>
  <c r="I118" i="73" s="1"/>
  <c r="J118" i="73" s="1"/>
  <c r="G34" i="73"/>
  <c r="H34" i="73" s="1"/>
  <c r="I34" i="73" s="1"/>
  <c r="J34" i="73" s="1"/>
  <c r="G30" i="73"/>
  <c r="H30" i="73" s="1"/>
  <c r="I30" i="73" s="1"/>
  <c r="J30" i="73" s="1"/>
  <c r="G39" i="73"/>
  <c r="H39" i="73" s="1"/>
  <c r="I39" i="73" s="1"/>
  <c r="J39" i="73" s="1"/>
  <c r="G28" i="73"/>
  <c r="H28" i="73" s="1"/>
  <c r="I28" i="73" s="1"/>
  <c r="J28" i="73" s="1"/>
  <c r="G41" i="73"/>
  <c r="H41" i="73" s="1"/>
  <c r="I41" i="73" s="1"/>
  <c r="J41" i="73" s="1"/>
  <c r="G177" i="73"/>
  <c r="H177" i="73" s="1"/>
  <c r="I177" i="73" s="1"/>
  <c r="J177" i="73" s="1"/>
  <c r="G93" i="73"/>
  <c r="H93" i="73" s="1"/>
  <c r="I93" i="73" s="1"/>
  <c r="J93" i="73" s="1"/>
  <c r="G229" i="73"/>
  <c r="H229" i="73" s="1"/>
  <c r="I229" i="73" s="1"/>
  <c r="J229" i="73" s="1"/>
  <c r="G26" i="73"/>
  <c r="H26" i="73" s="1"/>
  <c r="I26" i="73" s="1"/>
  <c r="J26" i="73" s="1"/>
  <c r="G227" i="73"/>
  <c r="H227" i="73" s="1"/>
  <c r="I227" i="73" s="1"/>
  <c r="J227" i="73" s="1"/>
  <c r="G188" i="73"/>
  <c r="H188" i="73" s="1"/>
  <c r="I188" i="73" s="1"/>
  <c r="J188" i="73" s="1"/>
  <c r="G224" i="73"/>
  <c r="H224" i="73" s="1"/>
  <c r="I224" i="73" s="1"/>
  <c r="J224" i="73" s="1"/>
  <c r="G217" i="73"/>
  <c r="H217" i="73" s="1"/>
  <c r="I217" i="73" s="1"/>
  <c r="J217" i="73" s="1"/>
  <c r="G207" i="73"/>
  <c r="H207" i="73" s="1"/>
  <c r="I207" i="73" s="1"/>
  <c r="J207" i="73" s="1"/>
  <c r="G206" i="73"/>
  <c r="H206" i="73" s="1"/>
  <c r="I206" i="73" s="1"/>
  <c r="J206" i="73" s="1"/>
  <c r="G268" i="73"/>
  <c r="H268" i="73" s="1"/>
  <c r="I268" i="73" s="1"/>
  <c r="J268" i="73" s="1"/>
  <c r="G235" i="73"/>
  <c r="H235" i="73" s="1"/>
  <c r="I235" i="73" s="1"/>
  <c r="J235" i="73" s="1"/>
  <c r="G244" i="73"/>
  <c r="H244" i="73" s="1"/>
  <c r="I244" i="73" s="1"/>
  <c r="J244" i="73" s="1"/>
  <c r="G219" i="73"/>
  <c r="H219" i="73" s="1"/>
  <c r="I219" i="73" s="1"/>
  <c r="J219" i="73" s="1"/>
  <c r="G269" i="73"/>
  <c r="H269" i="73" s="1"/>
  <c r="I269" i="73" s="1"/>
  <c r="J269" i="73" s="1"/>
  <c r="G270" i="73"/>
  <c r="H270" i="73" s="1"/>
  <c r="I270" i="73" s="1"/>
  <c r="J270" i="73" s="1"/>
  <c r="G168" i="73"/>
  <c r="H168" i="73" s="1"/>
  <c r="I168" i="73" s="1"/>
  <c r="J168" i="73" s="1"/>
  <c r="G150" i="73"/>
  <c r="H150" i="73" s="1"/>
  <c r="I150" i="73" s="1"/>
  <c r="J150" i="73" s="1"/>
  <c r="G201" i="73"/>
  <c r="H201" i="73" s="1"/>
  <c r="I201" i="73" s="1"/>
  <c r="J201" i="73" s="1"/>
  <c r="G195" i="73"/>
  <c r="H195" i="73" s="1"/>
  <c r="I195" i="73" s="1"/>
  <c r="J195" i="73" s="1"/>
  <c r="G101" i="73"/>
  <c r="H101" i="73" s="1"/>
  <c r="I101" i="73" s="1"/>
  <c r="J101" i="73" s="1"/>
  <c r="G24" i="73"/>
  <c r="H24" i="73" s="1"/>
  <c r="I24" i="73" s="1"/>
  <c r="J24" i="73" s="1"/>
  <c r="I291" i="73"/>
  <c r="J291" i="73" s="1"/>
  <c r="I170" i="73"/>
  <c r="J170" i="73" s="1"/>
  <c r="I161" i="73"/>
  <c r="J161" i="73" s="1"/>
  <c r="I167" i="73"/>
  <c r="J167" i="73" s="1"/>
  <c r="I192" i="73"/>
  <c r="J192" i="73" s="1"/>
  <c r="I43" i="73"/>
  <c r="J43" i="73" s="1"/>
  <c r="I158" i="73"/>
  <c r="J158" i="73" s="1"/>
  <c r="I222" i="73"/>
  <c r="J222" i="73" s="1"/>
  <c r="I208" i="73"/>
  <c r="J208" i="73" s="1"/>
  <c r="I90" i="73"/>
  <c r="J90" i="73" s="1"/>
  <c r="I230" i="73"/>
  <c r="J230" i="73" s="1"/>
  <c r="I191" i="73"/>
  <c r="J191" i="73" s="1"/>
  <c r="I64" i="73"/>
  <c r="J64" i="73" s="1"/>
  <c r="I221" i="73"/>
  <c r="J221" i="73" s="1"/>
  <c r="I71" i="73"/>
  <c r="J71" i="73" s="1"/>
  <c r="I241" i="73"/>
  <c r="J241" i="73" s="1"/>
  <c r="I282" i="73"/>
  <c r="J282" i="73" s="1"/>
  <c r="I3" i="73"/>
  <c r="J3" i="73" s="1"/>
  <c r="I67" i="73"/>
  <c r="J67" i="73" s="1"/>
  <c r="I84" i="73"/>
  <c r="J84" i="73" s="1"/>
  <c r="I148" i="73"/>
  <c r="J148" i="73" s="1"/>
  <c r="I75" i="73"/>
  <c r="J75" i="73" s="1"/>
  <c r="I87" i="73"/>
  <c r="J87" i="73" s="1"/>
  <c r="I112" i="73"/>
  <c r="J112" i="73" s="1"/>
  <c r="I176" i="73"/>
  <c r="J176" i="73" s="1"/>
  <c r="I27" i="73"/>
  <c r="J27" i="73" s="1"/>
  <c r="I231" i="73"/>
  <c r="J231" i="73" s="1"/>
  <c r="I83" i="73"/>
  <c r="J83" i="73" s="1"/>
  <c r="G194" i="73" l="1"/>
  <c r="H194" i="73" s="1"/>
  <c r="I194" i="73" s="1"/>
  <c r="J194" i="73" s="1"/>
  <c r="G186" i="73"/>
  <c r="H186" i="73" s="1"/>
  <c r="I186" i="73" s="1"/>
  <c r="J186" i="73" s="1"/>
  <c r="G240" i="73"/>
  <c r="H240" i="73" s="1"/>
  <c r="I240" i="73" s="1"/>
  <c r="J240" i="73" s="1"/>
  <c r="G245" i="73"/>
  <c r="H245" i="73" s="1"/>
  <c r="I245" i="73" s="1"/>
  <c r="J245" i="73" s="1"/>
  <c r="G215" i="73"/>
  <c r="H215" i="73" s="1"/>
  <c r="I215" i="73" s="1"/>
  <c r="J215" i="73" s="1"/>
  <c r="G233" i="73"/>
  <c r="H233" i="73" s="1"/>
  <c r="I233" i="73" s="1"/>
  <c r="J233" i="73" s="1"/>
  <c r="G262" i="73"/>
  <c r="H262" i="73" s="1"/>
  <c r="I262" i="73" s="1"/>
  <c r="J262" i="73" s="1"/>
  <c r="G60" i="73"/>
  <c r="H60" i="73" s="1"/>
  <c r="I60" i="73" s="1"/>
  <c r="J60" i="73" s="1"/>
  <c r="G58" i="73"/>
  <c r="H58" i="73" s="1"/>
  <c r="I58" i="73" s="1"/>
  <c r="J58" i="73" s="1"/>
  <c r="G63" i="73"/>
  <c r="H63" i="73" s="1"/>
  <c r="I63" i="73" s="1"/>
  <c r="J63" i="73" s="1"/>
  <c r="G9" i="73"/>
  <c r="H9" i="73" s="1"/>
  <c r="I9" i="73" s="1"/>
  <c r="J9" i="73" s="1"/>
  <c r="G20" i="73"/>
  <c r="H20" i="73" s="1"/>
  <c r="I20" i="73" s="1"/>
  <c r="J20" i="73" s="1"/>
  <c r="G12" i="73"/>
  <c r="H12" i="73" s="1"/>
  <c r="I12" i="73" s="1"/>
  <c r="J12" i="73" s="1"/>
  <c r="G23" i="73"/>
  <c r="H23" i="73" s="1"/>
  <c r="I23" i="73" s="1"/>
  <c r="J23" i="73" s="1"/>
  <c r="G14" i="73"/>
  <c r="H14" i="73" s="1"/>
  <c r="I14" i="73" s="1"/>
  <c r="J14" i="73" s="1"/>
  <c r="G15" i="73"/>
  <c r="H15" i="73" s="1"/>
  <c r="I15" i="73" s="1"/>
  <c r="J15" i="73" s="1"/>
  <c r="G6" i="73"/>
  <c r="H6" i="73" s="1"/>
  <c r="I6" i="73" s="1"/>
  <c r="J6" i="73" s="1"/>
  <c r="G7" i="73"/>
  <c r="H7" i="73" s="1"/>
  <c r="I7" i="73" s="1"/>
  <c r="J7" i="73" s="1"/>
  <c r="G19" i="73"/>
  <c r="H19" i="73" s="1"/>
  <c r="I19" i="73" s="1"/>
  <c r="J19" i="73" s="1"/>
  <c r="G13" i="73"/>
  <c r="H13" i="73" s="1"/>
  <c r="I13" i="73" s="1"/>
  <c r="J13" i="73" s="1"/>
  <c r="G36" i="73"/>
  <c r="H36" i="73" s="1"/>
  <c r="I36" i="73" s="1"/>
  <c r="J36" i="73" s="1"/>
  <c r="G61" i="73"/>
  <c r="H61" i="73" s="1"/>
  <c r="I61" i="73" s="1"/>
  <c r="J61" i="73" s="1"/>
  <c r="G46" i="73"/>
  <c r="H46" i="73" s="1"/>
  <c r="I46" i="73" s="1"/>
  <c r="J46" i="73" s="1"/>
  <c r="G51" i="73"/>
  <c r="H51" i="73" s="1"/>
  <c r="I51" i="73" s="1"/>
  <c r="J51" i="73" s="1"/>
  <c r="G66" i="73"/>
  <c r="H66" i="73" s="1"/>
  <c r="I66" i="73" s="1"/>
  <c r="J66" i="73" s="1"/>
  <c r="G44" i="73"/>
  <c r="H44" i="73" s="1"/>
  <c r="I44" i="73" s="1"/>
  <c r="J44" i="73" s="1"/>
  <c r="G59" i="73"/>
  <c r="H59" i="73" s="1"/>
  <c r="I59" i="73" s="1"/>
  <c r="J59" i="73" s="1"/>
  <c r="G47" i="73"/>
  <c r="H47" i="73" s="1"/>
  <c r="I47" i="73" s="1"/>
  <c r="J47" i="73" s="1"/>
  <c r="G276" i="73"/>
  <c r="H276" i="73" s="1"/>
  <c r="I276" i="73" s="1"/>
  <c r="J276" i="73" s="1"/>
  <c r="G284" i="73"/>
  <c r="H284" i="73" s="1"/>
  <c r="I284" i="73" s="1"/>
  <c r="J284" i="73" s="1"/>
  <c r="G234" i="73"/>
  <c r="H234" i="73" s="1"/>
  <c r="I234" i="73" s="1"/>
  <c r="J234" i="73" s="1"/>
  <c r="G211" i="73"/>
  <c r="H211" i="73" s="1"/>
  <c r="I211" i="73" s="1"/>
  <c r="J211" i="73" s="1"/>
  <c r="G236" i="73"/>
  <c r="H236" i="73" s="1"/>
  <c r="I236" i="73" s="1"/>
  <c r="J236" i="73" s="1"/>
  <c r="G228" i="73"/>
  <c r="H228" i="73" s="1"/>
  <c r="I228" i="73" s="1"/>
  <c r="J228" i="73" s="1"/>
  <c r="G259" i="73"/>
  <c r="H259" i="73" s="1"/>
  <c r="I259" i="73" s="1"/>
  <c r="J259" i="73" s="1"/>
  <c r="G249" i="73"/>
  <c r="H249" i="73" s="1"/>
  <c r="I249" i="73" s="1"/>
  <c r="J249" i="73" s="1"/>
  <c r="G248" i="73"/>
  <c r="H248" i="73" s="1"/>
  <c r="I248" i="73" s="1"/>
  <c r="J248" i="73" s="1"/>
  <c r="G225" i="73"/>
  <c r="H225" i="73" s="1"/>
  <c r="I225" i="73" s="1"/>
  <c r="J225" i="73" s="1"/>
  <c r="G272" i="73"/>
  <c r="H272" i="73" s="1"/>
  <c r="I272" i="73" s="1"/>
  <c r="J272" i="73" s="1"/>
  <c r="G260" i="73"/>
  <c r="H260" i="73" s="1"/>
  <c r="I260" i="73" s="1"/>
  <c r="J260" i="73" s="1"/>
  <c r="G265" i="73"/>
  <c r="H265" i="73" s="1"/>
  <c r="I265" i="73" s="1"/>
  <c r="J265" i="73" s="1"/>
  <c r="G246" i="73"/>
  <c r="H246" i="73" s="1"/>
  <c r="I246" i="73" s="1"/>
  <c r="J246" i="73" s="1"/>
  <c r="G288" i="73"/>
  <c r="H288" i="73" s="1"/>
  <c r="I288" i="73" s="1"/>
  <c r="J288" i="73" s="1"/>
  <c r="G286" i="73"/>
  <c r="H286" i="73" s="1"/>
  <c r="I286" i="73" s="1"/>
  <c r="J286" i="73" s="1"/>
  <c r="G289" i="73"/>
  <c r="H289" i="73" s="1"/>
  <c r="I289" i="73" s="1"/>
  <c r="J289" i="73" s="1"/>
  <c r="G290" i="73"/>
  <c r="H290" i="73" s="1"/>
  <c r="I290" i="73" s="1"/>
  <c r="J290" i="73" s="1"/>
  <c r="G182" i="73"/>
  <c r="H182" i="73" s="1"/>
  <c r="I182" i="73" s="1"/>
  <c r="J182" i="73" s="1"/>
  <c r="G190" i="73"/>
  <c r="H190" i="73" s="1"/>
  <c r="I190" i="73" s="1"/>
  <c r="J190" i="73" s="1"/>
  <c r="G146" i="73"/>
  <c r="H146" i="73" s="1"/>
  <c r="I146" i="73" s="1"/>
  <c r="J146" i="73" s="1"/>
  <c r="G120" i="73"/>
  <c r="H120" i="73" s="1"/>
  <c r="I120" i="73" s="1"/>
  <c r="J120" i="73" s="1"/>
  <c r="G105" i="73"/>
  <c r="H105" i="73" s="1"/>
  <c r="I105" i="73" s="1"/>
  <c r="J105" i="73" s="1"/>
  <c r="G72" i="73"/>
  <c r="H72" i="73" s="1"/>
  <c r="I72" i="73" s="1"/>
  <c r="J72" i="73" s="1"/>
  <c r="G91" i="73"/>
  <c r="H91" i="73" s="1"/>
  <c r="I91" i="73" s="1"/>
  <c r="J91" i="73" s="1"/>
  <c r="G141" i="73"/>
  <c r="H141" i="73" s="1"/>
  <c r="I141" i="73" s="1"/>
  <c r="J141" i="73" s="1"/>
  <c r="G136" i="73"/>
  <c r="H136" i="73" s="1"/>
  <c r="I136" i="73" s="1"/>
  <c r="J136" i="73" s="1"/>
  <c r="G131" i="73"/>
  <c r="H131" i="73" s="1"/>
  <c r="I131" i="73" s="1"/>
  <c r="J131" i="73" s="1"/>
  <c r="G137" i="73"/>
  <c r="H137" i="73" s="1"/>
  <c r="I137" i="73" s="1"/>
  <c r="J137" i="73" s="1"/>
  <c r="G121" i="73"/>
  <c r="H121" i="73" s="1"/>
  <c r="I121" i="73" s="1"/>
  <c r="J121" i="73" s="1"/>
  <c r="G111" i="73"/>
  <c r="H111" i="73" s="1"/>
  <c r="I111" i="73" s="1"/>
  <c r="J111" i="73" s="1"/>
  <c r="G100" i="73"/>
  <c r="H100" i="73" s="1"/>
  <c r="I100" i="73" s="1"/>
  <c r="J100" i="73" s="1"/>
  <c r="G292" i="73"/>
  <c r="H292" i="73" s="1"/>
  <c r="I292" i="73" s="1"/>
  <c r="J292" i="73" s="1"/>
  <c r="G293" i="73"/>
  <c r="H293" i="73" s="1"/>
  <c r="I293" i="73" s="1"/>
  <c r="J293" i="73" s="1"/>
  <c r="G237" i="73"/>
  <c r="H237" i="73" s="1"/>
  <c r="I237" i="73" s="1"/>
  <c r="J237" i="73" s="1"/>
  <c r="G238" i="73"/>
  <c r="H238" i="73" s="1"/>
  <c r="I238" i="73" s="1"/>
  <c r="J238" i="73" s="1"/>
  <c r="G210" i="73"/>
  <c r="H210" i="73" s="1"/>
  <c r="I210" i="73" s="1"/>
  <c r="J210" i="73" s="1"/>
  <c r="G250" i="73"/>
  <c r="H250" i="73" s="1"/>
  <c r="I250" i="73" s="1"/>
  <c r="J250" i="73" s="1"/>
  <c r="G11" i="73"/>
  <c r="H11" i="73" s="1"/>
  <c r="I11" i="73" s="1"/>
  <c r="J11" i="73" s="1"/>
  <c r="G2" i="73"/>
  <c r="H2" i="73" s="1"/>
  <c r="I2" i="73" s="1"/>
  <c r="J2" i="73" s="1"/>
  <c r="G16" i="73"/>
  <c r="H16" i="73" s="1"/>
  <c r="I16" i="73" s="1"/>
  <c r="J16" i="73" s="1"/>
  <c r="G35" i="73"/>
  <c r="H35" i="73" s="1"/>
  <c r="I35" i="73" s="1"/>
  <c r="J35" i="73" s="1"/>
  <c r="G4" i="73"/>
  <c r="H4" i="73" s="1"/>
  <c r="I4" i="73" s="1"/>
  <c r="J4" i="73" s="1"/>
  <c r="G5" i="73"/>
  <c r="H5" i="73" s="1"/>
  <c r="I5" i="73" s="1"/>
  <c r="J5" i="73" s="1"/>
  <c r="G17" i="73"/>
  <c r="H17" i="73" s="1"/>
  <c r="I17" i="73" s="1"/>
  <c r="J17" i="73" s="1"/>
  <c r="G18" i="73"/>
  <c r="H18" i="73" s="1"/>
  <c r="I18" i="73" s="1"/>
  <c r="J18" i="73" s="1"/>
  <c r="G32" i="73"/>
  <c r="H32" i="73" s="1"/>
  <c r="I32" i="73" s="1"/>
  <c r="J32" i="73" s="1"/>
  <c r="G145" i="73"/>
  <c r="H145" i="73" s="1"/>
  <c r="I145" i="73" s="1"/>
  <c r="J145" i="73" s="1"/>
  <c r="G115" i="73"/>
  <c r="H115" i="73" s="1"/>
  <c r="I115" i="73" s="1"/>
  <c r="J115" i="73" s="1"/>
  <c r="G138" i="73"/>
  <c r="H138" i="73" s="1"/>
  <c r="I138" i="73" s="1"/>
  <c r="J138" i="73" s="1"/>
  <c r="G149" i="73"/>
  <c r="H149" i="73" s="1"/>
  <c r="I149" i="73" s="1"/>
  <c r="J149" i="73" s="1"/>
  <c r="G130" i="73"/>
  <c r="H130" i="73" s="1"/>
  <c r="I130" i="73" s="1"/>
  <c r="J130" i="73" s="1"/>
  <c r="G128" i="73"/>
  <c r="H128" i="73" s="1"/>
  <c r="I128" i="73" s="1"/>
  <c r="J128" i="73" s="1"/>
  <c r="G134" i="73"/>
  <c r="H134" i="73" s="1"/>
  <c r="I134" i="73" s="1"/>
  <c r="J134" i="73" s="1"/>
  <c r="G263" i="73"/>
  <c r="H263" i="73" s="1"/>
  <c r="I263" i="73" s="1"/>
  <c r="J263" i="73" s="1"/>
  <c r="G271" i="73"/>
  <c r="H271" i="73" s="1"/>
  <c r="I271" i="73" s="1"/>
  <c r="J271" i="73" s="1"/>
  <c r="G264" i="73"/>
  <c r="H264" i="73" s="1"/>
  <c r="I264" i="73" s="1"/>
  <c r="J264" i="73" s="1"/>
  <c r="G273" i="73"/>
  <c r="H273" i="73" s="1"/>
  <c r="I273" i="73" s="1"/>
  <c r="J273" i="73" s="1"/>
  <c r="G255" i="73"/>
  <c r="H255" i="73" s="1"/>
  <c r="I255" i="73" s="1"/>
  <c r="J255" i="73" s="1"/>
  <c r="G294" i="73"/>
  <c r="H294" i="73" s="1"/>
  <c r="I294" i="73" s="1"/>
  <c r="J294" i="73" s="1"/>
  <c r="G266" i="73"/>
  <c r="H266" i="73" s="1"/>
  <c r="I266" i="73" s="1"/>
  <c r="J266" i="73" s="1"/>
  <c r="G267" i="73"/>
  <c r="H267" i="73" s="1"/>
  <c r="I267" i="73" s="1"/>
  <c r="J267" i="73" s="1"/>
  <c r="G277" i="73"/>
  <c r="H277" i="73" s="1"/>
  <c r="I277" i="73" s="1"/>
  <c r="J277" i="73" s="1"/>
  <c r="G299" i="73"/>
  <c r="H299" i="73" s="1"/>
  <c r="I299" i="73" s="1"/>
  <c r="J299" i="73" s="1"/>
  <c r="G300" i="73"/>
  <c r="H300" i="73" s="1"/>
  <c r="I300" i="73" s="1"/>
  <c r="J300" i="73" s="1"/>
  <c r="G254" i="73"/>
  <c r="H254" i="73" s="1"/>
  <c r="I254" i="73" s="1"/>
  <c r="J254" i="73" s="1"/>
  <c r="G298" i="73"/>
  <c r="H298" i="73" s="1"/>
  <c r="I298" i="73" s="1"/>
  <c r="J298" i="73" s="1"/>
  <c r="G253" i="73"/>
  <c r="H253" i="73" s="1"/>
  <c r="I253" i="73" s="1"/>
  <c r="J253" i="73" s="1"/>
  <c r="G251" i="73"/>
  <c r="H251" i="73" s="1"/>
  <c r="I251" i="73" s="1"/>
  <c r="J251" i="73" s="1"/>
  <c r="G159" i="73"/>
  <c r="H159" i="73" s="1"/>
  <c r="I159" i="73" s="1"/>
  <c r="J159" i="73" s="1"/>
  <c r="G198" i="73"/>
  <c r="H198" i="73" s="1"/>
  <c r="I198" i="73" s="1"/>
  <c r="J198" i="73" s="1"/>
  <c r="G174" i="73"/>
  <c r="H174" i="73" s="1"/>
  <c r="I174" i="73" s="1"/>
  <c r="J174" i="73" s="1"/>
  <c r="G164" i="73"/>
  <c r="H164" i="73" s="1"/>
  <c r="I164" i="73" s="1"/>
  <c r="J164" i="73" s="1"/>
  <c r="G180" i="73"/>
  <c r="H180" i="73" s="1"/>
  <c r="I180" i="73" s="1"/>
  <c r="J180" i="73" s="1"/>
  <c r="G166" i="73"/>
  <c r="H166" i="73" s="1"/>
  <c r="I166" i="73" s="1"/>
  <c r="J166" i="73" s="1"/>
  <c r="G184" i="73"/>
  <c r="H184" i="73" s="1"/>
  <c r="I184" i="73" s="1"/>
  <c r="J184" i="73" s="1"/>
  <c r="G124" i="73"/>
  <c r="H124" i="73" s="1"/>
  <c r="I124" i="73" s="1"/>
  <c r="J124" i="73" s="1"/>
  <c r="G163" i="73"/>
  <c r="H163" i="73" s="1"/>
  <c r="I163" i="73" s="1"/>
  <c r="J163" i="73" s="1"/>
  <c r="G133" i="73"/>
  <c r="H133" i="73" s="1"/>
  <c r="I133" i="73" s="1"/>
  <c r="J133" i="73" s="1"/>
  <c r="G144" i="73"/>
  <c r="H144" i="73" s="1"/>
  <c r="I144" i="73" s="1"/>
  <c r="J144" i="73" s="1"/>
  <c r="G169" i="73"/>
  <c r="H169" i="73" s="1"/>
  <c r="I169" i="73" s="1"/>
  <c r="J169" i="73" s="1"/>
  <c r="G55" i="73" l="1"/>
  <c r="H55" i="73" s="1"/>
  <c r="I55" i="73" s="1"/>
  <c r="J55" i="73" s="1"/>
  <c r="G62" i="73"/>
  <c r="H62" i="73" s="1"/>
  <c r="I62" i="73" s="1"/>
  <c r="J62" i="73" s="1"/>
  <c r="G57" i="73"/>
  <c r="H57" i="73" s="1"/>
  <c r="I57" i="73" s="1"/>
  <c r="J57" i="73" s="1"/>
  <c r="G65" i="73"/>
  <c r="H65" i="73" s="1"/>
  <c r="I65" i="73" s="1"/>
  <c r="J65" i="73" s="1"/>
  <c r="G54" i="73"/>
  <c r="H54" i="73" s="1"/>
  <c r="I54" i="73" s="1"/>
  <c r="J54" i="73" s="1"/>
  <c r="G126" i="73"/>
  <c r="H126" i="73" s="1"/>
  <c r="I126" i="73" s="1"/>
  <c r="J126" i="73" s="1"/>
  <c r="G85" i="73"/>
  <c r="H85" i="73" s="1"/>
  <c r="I85" i="73" s="1"/>
  <c r="J85" i="73" s="1"/>
</calcChain>
</file>

<file path=xl/sharedStrings.xml><?xml version="1.0" encoding="utf-8"?>
<sst xmlns="http://schemas.openxmlformats.org/spreadsheetml/2006/main" count="2590" uniqueCount="808">
  <si>
    <t>Sampling parameters (Krejcie &amp; Morgan / Cochran + Kish design effect)</t>
  </si>
  <si>
    <t>Niveau de confiance</t>
  </si>
  <si>
    <t>Marge d'erreur</t>
  </si>
  <si>
    <t>Proportion attendue (p)</t>
  </si>
  <si>
    <t>Coefficient intra-grappe (ICC)</t>
  </si>
  <si>
    <t>Taille moyenne de grappe (M)</t>
  </si>
  <si>
    <t>Tampon / buffer (non-réponse)</t>
  </si>
  <si>
    <t>Total sampling Host</t>
  </si>
  <si>
    <t>Total sampling PDI</t>
  </si>
  <si>
    <t>Total sampling Retournée</t>
  </si>
  <si>
    <t>Total sampling Réfugié</t>
  </si>
  <si>
    <t>TOTAL</t>
  </si>
  <si>
    <t>LZNAMEFR</t>
  </si>
  <si>
    <t>CLASS</t>
  </si>
  <si>
    <t>survey_ZME</t>
  </si>
  <si>
    <t>adm2_pcode</t>
  </si>
  <si>
    <t>p</t>
  </si>
  <si>
    <t>buffer</t>
  </si>
  <si>
    <t>ci (AE8)</t>
  </si>
  <si>
    <t>marge d'erreur</t>
  </si>
  <si>
    <t>sample</t>
  </si>
  <si>
    <t>final adjusted</t>
  </si>
  <si>
    <t>enquete a faire sans buffer</t>
  </si>
  <si>
    <t>enquetes de buffer</t>
  </si>
  <si>
    <t>nombre de clusters à tirer</t>
  </si>
  <si>
    <t>weights adjusted</t>
  </si>
  <si>
    <t>BF4701</t>
  </si>
  <si>
    <t>BF5703</t>
  </si>
  <si>
    <t>BF5704</t>
  </si>
  <si>
    <t>BF4702</t>
  </si>
  <si>
    <t>sample size per cluster</t>
  </si>
  <si>
    <t>ICC</t>
  </si>
  <si>
    <t>BF5701</t>
  </si>
  <si>
    <t>BF5301</t>
  </si>
  <si>
    <t>BF5702</t>
  </si>
  <si>
    <t>BF5302</t>
  </si>
  <si>
    <t>Kompienga</t>
  </si>
  <si>
    <t>BF6302</t>
  </si>
  <si>
    <t>BF5303</t>
  </si>
  <si>
    <t>BF5003</t>
  </si>
  <si>
    <t>BF5102</t>
  </si>
  <si>
    <t>BF4802</t>
  </si>
  <si>
    <t>BF4801</t>
  </si>
  <si>
    <t>BF6201</t>
  </si>
  <si>
    <t>BF5004</t>
  </si>
  <si>
    <t>BF5103</t>
  </si>
  <si>
    <t>BF5002</t>
  </si>
  <si>
    <t>BF5101</t>
  </si>
  <si>
    <t>BF6202</t>
  </si>
  <si>
    <t>BF6301</t>
  </si>
  <si>
    <t>BF6203</t>
  </si>
  <si>
    <t>BF4803</t>
  </si>
  <si>
    <t>BF5501</t>
  </si>
  <si>
    <t>BF5001</t>
  </si>
  <si>
    <t>BF6002</t>
  </si>
  <si>
    <t>BF1300</t>
  </si>
  <si>
    <t>BF5503</t>
  </si>
  <si>
    <t>BF5801</t>
  </si>
  <si>
    <t>BF5502</t>
  </si>
  <si>
    <t>BF6001</t>
  </si>
  <si>
    <t>BF6102</t>
  </si>
  <si>
    <t>BF5802</t>
  </si>
  <si>
    <t>BF4902</t>
  </si>
  <si>
    <t>BF6101</t>
  </si>
  <si>
    <t>BF4903</t>
  </si>
  <si>
    <t>BF5402</t>
  </si>
  <si>
    <t>BF5404</t>
  </si>
  <si>
    <t>BF6403</t>
  </si>
  <si>
    <t>BF4901</t>
  </si>
  <si>
    <t>BF6103</t>
  </si>
  <si>
    <t>BF5403</t>
  </si>
  <si>
    <t>BF6402</t>
  </si>
  <si>
    <t>BF5401</t>
  </si>
  <si>
    <t>BF5901</t>
  </si>
  <si>
    <t>BF5902</t>
  </si>
  <si>
    <t>BF6401</t>
  </si>
  <si>
    <t>sample admin2</t>
  </si>
  <si>
    <t>adm3_name</t>
  </si>
  <si>
    <t>adm3_pcode</t>
  </si>
  <si>
    <t>population_admin2</t>
  </si>
  <si>
    <t>population_admin3</t>
  </si>
  <si>
    <t>cluster</t>
  </si>
  <si>
    <t>Mangodara</t>
  </si>
  <si>
    <t>BF470103</t>
  </si>
  <si>
    <t>Batie</t>
  </si>
  <si>
    <t>BF570301</t>
  </si>
  <si>
    <t>Niangoloko</t>
  </si>
  <si>
    <t>BF470105</t>
  </si>
  <si>
    <t>Ouo</t>
  </si>
  <si>
    <t>BF470106</t>
  </si>
  <si>
    <t>Djigoue</t>
  </si>
  <si>
    <t>BF570403</t>
  </si>
  <si>
    <t>Kampti</t>
  </si>
  <si>
    <t>BF570406</t>
  </si>
  <si>
    <t>Midebdo</t>
  </si>
  <si>
    <t>BF570305</t>
  </si>
  <si>
    <t>Perigban</t>
  </si>
  <si>
    <t>BF570410</t>
  </si>
  <si>
    <t>Legmoin</t>
  </si>
  <si>
    <t>BF570304</t>
  </si>
  <si>
    <t>Sideradougou</t>
  </si>
  <si>
    <t>BF470107</t>
  </si>
  <si>
    <t>Gbomblora</t>
  </si>
  <si>
    <t>BF570405</t>
  </si>
  <si>
    <t>Gaoua</t>
  </si>
  <si>
    <t>BF570404</t>
  </si>
  <si>
    <t>Loropeni</t>
  </si>
  <si>
    <t>BF570407</t>
  </si>
  <si>
    <t>Boussera</t>
  </si>
  <si>
    <t>BF570402</t>
  </si>
  <si>
    <t>Soubakaniedougou</t>
  </si>
  <si>
    <t>BF470108</t>
  </si>
  <si>
    <t>Tiefora</t>
  </si>
  <si>
    <t>BF470109</t>
  </si>
  <si>
    <t>Banfora</t>
  </si>
  <si>
    <t>BF470101</t>
  </si>
  <si>
    <t>Malba</t>
  </si>
  <si>
    <t>BF570408</t>
  </si>
  <si>
    <t>Bouroum-Bouroum</t>
  </si>
  <si>
    <t>BF570401</t>
  </si>
  <si>
    <t>Niankorodougou</t>
  </si>
  <si>
    <t>BF470205</t>
  </si>
  <si>
    <t>Dakoro</t>
  </si>
  <si>
    <t>BF470201</t>
  </si>
  <si>
    <t>Nako</t>
  </si>
  <si>
    <t>BF570409</t>
  </si>
  <si>
    <t>Loumana</t>
  </si>
  <si>
    <t>BF470204</t>
  </si>
  <si>
    <t>Sindou</t>
  </si>
  <si>
    <t>BF470207</t>
  </si>
  <si>
    <t>Douna</t>
  </si>
  <si>
    <t>BF470202</t>
  </si>
  <si>
    <t>Wolonkoto</t>
  </si>
  <si>
    <t>BF470208</t>
  </si>
  <si>
    <t>Tiankoura</t>
  </si>
  <si>
    <t>BF570105</t>
  </si>
  <si>
    <t>Kankalaba</t>
  </si>
  <si>
    <t>BF470203</t>
  </si>
  <si>
    <t>Iolonioro</t>
  </si>
  <si>
    <t>BF570104</t>
  </si>
  <si>
    <t>Karangasso-Vigue</t>
  </si>
  <si>
    <t>BF530107</t>
  </si>
  <si>
    <t>Beregadougou</t>
  </si>
  <si>
    <t>BF470102</t>
  </si>
  <si>
    <t>Peni</t>
  </si>
  <si>
    <t>BF530111</t>
  </si>
  <si>
    <t>Diebougou</t>
  </si>
  <si>
    <t>BF570102</t>
  </si>
  <si>
    <t>Moussodougou</t>
  </si>
  <si>
    <t>BF470104</t>
  </si>
  <si>
    <t>Zambo</t>
  </si>
  <si>
    <t>BF570208</t>
  </si>
  <si>
    <t>Toussiana</t>
  </si>
  <si>
    <t>BF530113</t>
  </si>
  <si>
    <t>Samogoyiri</t>
  </si>
  <si>
    <t>BF530211</t>
  </si>
  <si>
    <t>Dolo</t>
  </si>
  <si>
    <t>BF570103</t>
  </si>
  <si>
    <t>Kangala</t>
  </si>
  <si>
    <t>BF530203</t>
  </si>
  <si>
    <t>Gbondjigui</t>
  </si>
  <si>
    <t>BF570101</t>
  </si>
  <si>
    <t>Orodara</t>
  </si>
  <si>
    <t>BF530210</t>
  </si>
  <si>
    <t>Kourinion</t>
  </si>
  <si>
    <t>BF530206</t>
  </si>
  <si>
    <t>Dissihn</t>
  </si>
  <si>
    <t>BF570202</t>
  </si>
  <si>
    <t>Bobo-Dioulasso</t>
  </si>
  <si>
    <t>BF530102</t>
  </si>
  <si>
    <t>Gueguere</t>
  </si>
  <si>
    <t>BF570203</t>
  </si>
  <si>
    <t>Dano</t>
  </si>
  <si>
    <t>BF570201</t>
  </si>
  <si>
    <t>Djigouera</t>
  </si>
  <si>
    <t>BF530202</t>
  </si>
  <si>
    <t>Karangasso-Sambla</t>
  </si>
  <si>
    <t>BF530106</t>
  </si>
  <si>
    <t>BF630201</t>
  </si>
  <si>
    <t>Koper</t>
  </si>
  <si>
    <t>BF570204</t>
  </si>
  <si>
    <t>Lena</t>
  </si>
  <si>
    <t>BF530109</t>
  </si>
  <si>
    <t>Koumbia</t>
  </si>
  <si>
    <t>BF530307</t>
  </si>
  <si>
    <t>Leo</t>
  </si>
  <si>
    <t>BF500303</t>
  </si>
  <si>
    <t>Bieha</t>
  </si>
  <si>
    <t>BF500301</t>
  </si>
  <si>
    <t>Koloko</t>
  </si>
  <si>
    <t>BF530205</t>
  </si>
  <si>
    <t>Boura</t>
  </si>
  <si>
    <t>BF500302</t>
  </si>
  <si>
    <t>Po</t>
  </si>
  <si>
    <t>BF510202</t>
  </si>
  <si>
    <t>Niego</t>
  </si>
  <si>
    <t>BF570205</t>
  </si>
  <si>
    <t>Tiebele</t>
  </si>
  <si>
    <t>BF510203</t>
  </si>
  <si>
    <t>Ouessa</t>
  </si>
  <si>
    <t>BF570207</t>
  </si>
  <si>
    <t>Niabouri</t>
  </si>
  <si>
    <t>BF500305</t>
  </si>
  <si>
    <t>Guiaro</t>
  </si>
  <si>
    <t>BF510201</t>
  </si>
  <si>
    <t>Soudougui</t>
  </si>
  <si>
    <t>BF480206</t>
  </si>
  <si>
    <t>To</t>
  </si>
  <si>
    <t>BF500307</t>
  </si>
  <si>
    <t>Oronkua</t>
  </si>
  <si>
    <t>BF570206</t>
  </si>
  <si>
    <t>Sangha</t>
  </si>
  <si>
    <t>BF480205</t>
  </si>
  <si>
    <t>Samogogouan</t>
  </si>
  <si>
    <t>BF530212</t>
  </si>
  <si>
    <t>Banzon</t>
  </si>
  <si>
    <t>BF530201</t>
  </si>
  <si>
    <t>Bitou</t>
  </si>
  <si>
    <t>BF480105</t>
  </si>
  <si>
    <t>Pama</t>
  </si>
  <si>
    <t>BF630203</t>
  </si>
  <si>
    <t>Fara</t>
  </si>
  <si>
    <t>BF620104</t>
  </si>
  <si>
    <t>Yargatenga</t>
  </si>
  <si>
    <t>BF480207</t>
  </si>
  <si>
    <t>Bama</t>
  </si>
  <si>
    <t>BF530101</t>
  </si>
  <si>
    <t>Founzan</t>
  </si>
  <si>
    <t>BF530304</t>
  </si>
  <si>
    <t>Kassou</t>
  </si>
  <si>
    <t>BF500403</t>
  </si>
  <si>
    <t>Sindo</t>
  </si>
  <si>
    <t>BF530213</t>
  </si>
  <si>
    <t>Satiri</t>
  </si>
  <si>
    <t>BF530112</t>
  </si>
  <si>
    <t>Koti</t>
  </si>
  <si>
    <t>BF530306</t>
  </si>
  <si>
    <t>Ouargaye</t>
  </si>
  <si>
    <t>BF480204</t>
  </si>
  <si>
    <t>Sapouy</t>
  </si>
  <si>
    <t>BF500406</t>
  </si>
  <si>
    <t>Gomboussougou</t>
  </si>
  <si>
    <t>BF510304</t>
  </si>
  <si>
    <t>Zonse</t>
  </si>
  <si>
    <t>BF480113</t>
  </si>
  <si>
    <t>Hounde</t>
  </si>
  <si>
    <t>BF530305</t>
  </si>
  <si>
    <t>Silly</t>
  </si>
  <si>
    <t>BF500306</t>
  </si>
  <si>
    <t>Boni</t>
  </si>
  <si>
    <t>BF530303</t>
  </si>
  <si>
    <t>Bagre</t>
  </si>
  <si>
    <t>BF480101</t>
  </si>
  <si>
    <t>Gogo</t>
  </si>
  <si>
    <t>BF510303</t>
  </si>
  <si>
    <t>Bane</t>
  </si>
  <si>
    <t>BF480102</t>
  </si>
  <si>
    <t>Kourouma</t>
  </si>
  <si>
    <t>BF530207</t>
  </si>
  <si>
    <t>Pa</t>
  </si>
  <si>
    <t>BF620106</t>
  </si>
  <si>
    <t>Nobere</t>
  </si>
  <si>
    <t>BF510307</t>
  </si>
  <si>
    <t>Guiba</t>
  </si>
  <si>
    <t>BF510305</t>
  </si>
  <si>
    <t>Lalgaye</t>
  </si>
  <si>
    <t>BF480203</t>
  </si>
  <si>
    <t>Gao</t>
  </si>
  <si>
    <t>BF500405</t>
  </si>
  <si>
    <t>Dande</t>
  </si>
  <si>
    <t>BF530103</t>
  </si>
  <si>
    <t>Padema</t>
  </si>
  <si>
    <t>BF530110</t>
  </si>
  <si>
    <t>Boussouma</t>
  </si>
  <si>
    <t>BF480106</t>
  </si>
  <si>
    <t>Dourtenga</t>
  </si>
  <si>
    <t>BF480202</t>
  </si>
  <si>
    <t>Poura</t>
  </si>
  <si>
    <t>BF620108</t>
  </si>
  <si>
    <t>Manga</t>
  </si>
  <si>
    <t>BF510306</t>
  </si>
  <si>
    <t>Tenkodogo</t>
  </si>
  <si>
    <t>BF480110</t>
  </si>
  <si>
    <t>Komin-Yanga</t>
  </si>
  <si>
    <t>BF480201</t>
  </si>
  <si>
    <t>Bereba</t>
  </si>
  <si>
    <t>BF530302</t>
  </si>
  <si>
    <t>Bagassi</t>
  </si>
  <si>
    <t>BF620101</t>
  </si>
  <si>
    <t>Bekui</t>
  </si>
  <si>
    <t>BF530301</t>
  </si>
  <si>
    <t>Bakata</t>
  </si>
  <si>
    <t>BF500401</t>
  </si>
  <si>
    <t>Ndorola</t>
  </si>
  <si>
    <t>BF530209</t>
  </si>
  <si>
    <t>Zawara</t>
  </si>
  <si>
    <t>BF500210</t>
  </si>
  <si>
    <t>Koundougou</t>
  </si>
  <si>
    <t>BF530108</t>
  </si>
  <si>
    <t>Boromo</t>
  </si>
  <si>
    <t>BF620103</t>
  </si>
  <si>
    <t>Binde</t>
  </si>
  <si>
    <t>BF510302</t>
  </si>
  <si>
    <t>Garango</t>
  </si>
  <si>
    <t>BF480107</t>
  </si>
  <si>
    <t>Morlaba</t>
  </si>
  <si>
    <t>BF530208</t>
  </si>
  <si>
    <t>Toece</t>
  </si>
  <si>
    <t>BF510107</t>
  </si>
  <si>
    <t>Kayan</t>
  </si>
  <si>
    <t>BF530204</t>
  </si>
  <si>
    <t>Dalo</t>
  </si>
  <si>
    <t>BF500404</t>
  </si>
  <si>
    <t>Bere</t>
  </si>
  <si>
    <t>BF510301</t>
  </si>
  <si>
    <t>Niaogho</t>
  </si>
  <si>
    <t>BF480109</t>
  </si>
  <si>
    <t>Kouka</t>
  </si>
  <si>
    <t>BF620202</t>
  </si>
  <si>
    <t>Yaho</t>
  </si>
  <si>
    <t>BF620110</t>
  </si>
  <si>
    <t>Beguedo</t>
  </si>
  <si>
    <t>BF480103</t>
  </si>
  <si>
    <t>Bougnounou</t>
  </si>
  <si>
    <t>BF500402</t>
  </si>
  <si>
    <t>Diabo</t>
  </si>
  <si>
    <t>BF630101</t>
  </si>
  <si>
    <t>Bondokui</t>
  </si>
  <si>
    <t>BF620301</t>
  </si>
  <si>
    <t>Nebielianayou</t>
  </si>
  <si>
    <t>BF500304</t>
  </si>
  <si>
    <t>Fo</t>
  </si>
  <si>
    <t>BF530105</t>
  </si>
  <si>
    <t>Doulougou</t>
  </si>
  <si>
    <t>BF510101</t>
  </si>
  <si>
    <t>Bissiga</t>
  </si>
  <si>
    <t>BF480104</t>
  </si>
  <si>
    <t>Ipelse</t>
  </si>
  <si>
    <t>BF510103</t>
  </si>
  <si>
    <t>Siby</t>
  </si>
  <si>
    <t>BF620109</t>
  </si>
  <si>
    <t>Dialgaye</t>
  </si>
  <si>
    <t>BF480303</t>
  </si>
  <si>
    <t>Fada-Ngourma</t>
  </si>
  <si>
    <t>BF630103</t>
  </si>
  <si>
    <t>Kombissiri</t>
  </si>
  <si>
    <t>BF510105</t>
  </si>
  <si>
    <t>Komtoega</t>
  </si>
  <si>
    <t>BF480108</t>
  </si>
  <si>
    <t>Pompoi</t>
  </si>
  <si>
    <t>BF620107</t>
  </si>
  <si>
    <t>Ouri</t>
  </si>
  <si>
    <t>BF620105</t>
  </si>
  <si>
    <t>Sapone</t>
  </si>
  <si>
    <t>BF510106</t>
  </si>
  <si>
    <t>Pouni</t>
  </si>
  <si>
    <t>BF500206</t>
  </si>
  <si>
    <t>Zamo</t>
  </si>
  <si>
    <t>BF500209</t>
  </si>
  <si>
    <t>Bana</t>
  </si>
  <si>
    <t>BF620102</t>
  </si>
  <si>
    <t>Safane</t>
  </si>
  <si>
    <t>BF620306</t>
  </si>
  <si>
    <t>Tensobentenga</t>
  </si>
  <si>
    <t>BF480308</t>
  </si>
  <si>
    <t>Matiakoali</t>
  </si>
  <si>
    <t>BF630104</t>
  </si>
  <si>
    <t>Kayao</t>
  </si>
  <si>
    <t>BF510104</t>
  </si>
  <si>
    <t>Solenzo</t>
  </si>
  <si>
    <t>BF620205</t>
  </si>
  <si>
    <t>Boudri</t>
  </si>
  <si>
    <t>BF550101</t>
  </si>
  <si>
    <t>Sabou</t>
  </si>
  <si>
    <t>BF500111</t>
  </si>
  <si>
    <t>Gaongo</t>
  </si>
  <si>
    <t>BF510102</t>
  </si>
  <si>
    <t>Gounguen</t>
  </si>
  <si>
    <t>BF480304</t>
  </si>
  <si>
    <t>Ouarkoye</t>
  </si>
  <si>
    <t>BF620305</t>
  </si>
  <si>
    <t>Yargo</t>
  </si>
  <si>
    <t>BF480309</t>
  </si>
  <si>
    <t>Kona</t>
  </si>
  <si>
    <t>BF620304</t>
  </si>
  <si>
    <t>Sourgou</t>
  </si>
  <si>
    <t>BF500114</t>
  </si>
  <si>
    <t>Tcheriba</t>
  </si>
  <si>
    <t>BF620307</t>
  </si>
  <si>
    <t>Koupela</t>
  </si>
  <si>
    <t>BF480306</t>
  </si>
  <si>
    <t>Kokologo</t>
  </si>
  <si>
    <t>BF500104</t>
  </si>
  <si>
    <t>Diapaga</t>
  </si>
  <si>
    <t>BF600201</t>
  </si>
  <si>
    <t>Komsilga</t>
  </si>
  <si>
    <t>BF130002</t>
  </si>
  <si>
    <t>Mogtedo</t>
  </si>
  <si>
    <t>BF550104</t>
  </si>
  <si>
    <t>Zoungou</t>
  </si>
  <si>
    <t>BF550108</t>
  </si>
  <si>
    <t>Tenado</t>
  </si>
  <si>
    <t>BF500208</t>
  </si>
  <si>
    <t>Diapangou</t>
  </si>
  <si>
    <t>BF630102</t>
  </si>
  <si>
    <t>Komki-Ipala</t>
  </si>
  <si>
    <t>BF130001</t>
  </si>
  <si>
    <t>Ramongo</t>
  </si>
  <si>
    <t>BF500110</t>
  </si>
  <si>
    <t>Koubri</t>
  </si>
  <si>
    <t>BF130003</t>
  </si>
  <si>
    <t>Poa</t>
  </si>
  <si>
    <t>BF500109</t>
  </si>
  <si>
    <t>Baskoure</t>
  </si>
  <si>
    <t>BF480302</t>
  </si>
  <si>
    <t>Tibga</t>
  </si>
  <si>
    <t>BF630105</t>
  </si>
  <si>
    <t>Koudougou</t>
  </si>
  <si>
    <t>BF500105</t>
  </si>
  <si>
    <t>Zorgho</t>
  </si>
  <si>
    <t>BF550107</t>
  </si>
  <si>
    <t>Pouytenga</t>
  </si>
  <si>
    <t>BF480307</t>
  </si>
  <si>
    <t>Reo</t>
  </si>
  <si>
    <t>BF500207</t>
  </si>
  <si>
    <t>Tanguen-Dassouri</t>
  </si>
  <si>
    <t>BF130007</t>
  </si>
  <si>
    <t>Kando</t>
  </si>
  <si>
    <t>BF480305</t>
  </si>
  <si>
    <t>Andemtenga</t>
  </si>
  <si>
    <t>BF480301</t>
  </si>
  <si>
    <t>Nandiala</t>
  </si>
  <si>
    <t>BF500107</t>
  </si>
  <si>
    <t>Bingo</t>
  </si>
  <si>
    <t>BF500101</t>
  </si>
  <si>
    <t>Dedougou</t>
  </si>
  <si>
    <t>BF620302</t>
  </si>
  <si>
    <t>Saaba</t>
  </si>
  <si>
    <t>BF130006</t>
  </si>
  <si>
    <t>Zam</t>
  </si>
  <si>
    <t>BF550106</t>
  </si>
  <si>
    <t>Sanaba</t>
  </si>
  <si>
    <t>BF620204</t>
  </si>
  <si>
    <t>Kyon</t>
  </si>
  <si>
    <t>BF500205</t>
  </si>
  <si>
    <t>Ouagadougou</t>
  </si>
  <si>
    <t>BF130004</t>
  </si>
  <si>
    <t>Nagreongo</t>
  </si>
  <si>
    <t>BF550304</t>
  </si>
  <si>
    <t>Bilanga</t>
  </si>
  <si>
    <t>BF580101</t>
  </si>
  <si>
    <t>Megue</t>
  </si>
  <si>
    <t>BF550103</t>
  </si>
  <si>
    <t>Sourgoubila</t>
  </si>
  <si>
    <t>BF550204</t>
  </si>
  <si>
    <t>Kindi</t>
  </si>
  <si>
    <t>BF500103</t>
  </si>
  <si>
    <t>Balave</t>
  </si>
  <si>
    <t>BF620201</t>
  </si>
  <si>
    <t>Dassa</t>
  </si>
  <si>
    <t>BF500201</t>
  </si>
  <si>
    <t>Saolgo</t>
  </si>
  <si>
    <t>BF550105</t>
  </si>
  <si>
    <t>Douroula</t>
  </si>
  <si>
    <t>BF620303</t>
  </si>
  <si>
    <t>Kantchari</t>
  </si>
  <si>
    <t>BF600102</t>
  </si>
  <si>
    <t>Imasgho</t>
  </si>
  <si>
    <t>BF500102</t>
  </si>
  <si>
    <t>Ye</t>
  </si>
  <si>
    <t>BF610206</t>
  </si>
  <si>
    <t>Gossina</t>
  </si>
  <si>
    <t>BF610202</t>
  </si>
  <si>
    <t>Pabre</t>
  </si>
  <si>
    <t>BF130005</t>
  </si>
  <si>
    <t>Didyr</t>
  </si>
  <si>
    <t>BF500202</t>
  </si>
  <si>
    <t>Kordie</t>
  </si>
  <si>
    <t>BF500204</t>
  </si>
  <si>
    <t>Soa</t>
  </si>
  <si>
    <t>BF500113</t>
  </si>
  <si>
    <t>Loumbila</t>
  </si>
  <si>
    <t>BF550303</t>
  </si>
  <si>
    <t>Gayeri</t>
  </si>
  <si>
    <t>BF580203</t>
  </si>
  <si>
    <t>Sigle</t>
  </si>
  <si>
    <t>BF500112</t>
  </si>
  <si>
    <t>Ambsouya</t>
  </si>
  <si>
    <t>BF550301</t>
  </si>
  <si>
    <t>Boulsa</t>
  </si>
  <si>
    <t>BF490202</t>
  </si>
  <si>
    <t>Laye</t>
  </si>
  <si>
    <t>BF550202</t>
  </si>
  <si>
    <t>Ziniare</t>
  </si>
  <si>
    <t>BF550306</t>
  </si>
  <si>
    <t>Pella</t>
  </si>
  <si>
    <t>BF500108</t>
  </si>
  <si>
    <t>Nouna</t>
  </si>
  <si>
    <t>BF610109</t>
  </si>
  <si>
    <t>Ziga</t>
  </si>
  <si>
    <t>BF490311</t>
  </si>
  <si>
    <t>Nanoro</t>
  </si>
  <si>
    <t>BF500106</t>
  </si>
  <si>
    <t>Dapeolgo</t>
  </si>
  <si>
    <t>BF550302</t>
  </si>
  <si>
    <t>Kogho</t>
  </si>
  <si>
    <t>BF550102</t>
  </si>
  <si>
    <t>Piela</t>
  </si>
  <si>
    <t>BF580106</t>
  </si>
  <si>
    <t>Samba</t>
  </si>
  <si>
    <t>BF540209</t>
  </si>
  <si>
    <t>Bousse</t>
  </si>
  <si>
    <t>BF550201</t>
  </si>
  <si>
    <t>Toma</t>
  </si>
  <si>
    <t>BF610204</t>
  </si>
  <si>
    <t>Dargo</t>
  </si>
  <si>
    <t>BF490204</t>
  </si>
  <si>
    <t>Zitenga</t>
  </si>
  <si>
    <t>BF550307</t>
  </si>
  <si>
    <t>Godyr</t>
  </si>
  <si>
    <t>BF500203</t>
  </si>
  <si>
    <t>Pilimpikou</t>
  </si>
  <si>
    <t>BF540208</t>
  </si>
  <si>
    <t>Arbolle</t>
  </si>
  <si>
    <t>BF540201</t>
  </si>
  <si>
    <t>Niou</t>
  </si>
  <si>
    <t>BF550203</t>
  </si>
  <si>
    <t>Korsimoro</t>
  </si>
  <si>
    <t>BF490305</t>
  </si>
  <si>
    <t>Yaba</t>
  </si>
  <si>
    <t>BF610205</t>
  </si>
  <si>
    <t>Toeguen</t>
  </si>
  <si>
    <t>BF550205</t>
  </si>
  <si>
    <t>Pibaore</t>
  </si>
  <si>
    <t>BF490309</t>
  </si>
  <si>
    <t>Ourgou-Manega</t>
  </si>
  <si>
    <t>BF550305</t>
  </si>
  <si>
    <t>Bagare</t>
  </si>
  <si>
    <t>BF540202</t>
  </si>
  <si>
    <t>La-Toden</t>
  </si>
  <si>
    <t>BF540207</t>
  </si>
  <si>
    <t>Yako</t>
  </si>
  <si>
    <t>BF540210</t>
  </si>
  <si>
    <t>Bogande</t>
  </si>
  <si>
    <t>BF580102</t>
  </si>
  <si>
    <t>BF490302</t>
  </si>
  <si>
    <t>Boala</t>
  </si>
  <si>
    <t>BF490201</t>
  </si>
  <si>
    <t>Mane</t>
  </si>
  <si>
    <t>BF490306</t>
  </si>
  <si>
    <t>Bomborokui</t>
  </si>
  <si>
    <t>BF610102</t>
  </si>
  <si>
    <t>Barani</t>
  </si>
  <si>
    <t>BF610101</t>
  </si>
  <si>
    <t>Boken</t>
  </si>
  <si>
    <t>BF540204</t>
  </si>
  <si>
    <t>Thion</t>
  </si>
  <si>
    <t>BF580107</t>
  </si>
  <si>
    <t>Kirsi</t>
  </si>
  <si>
    <t>BF540206</t>
  </si>
  <si>
    <t>Boussou</t>
  </si>
  <si>
    <t>BF540402</t>
  </si>
  <si>
    <t>Gomponsom</t>
  </si>
  <si>
    <t>BF540205</t>
  </si>
  <si>
    <t>Tougouri</t>
  </si>
  <si>
    <t>BF490206</t>
  </si>
  <si>
    <t>Mani</t>
  </si>
  <si>
    <t>BF580105</t>
  </si>
  <si>
    <t>Mansila</t>
  </si>
  <si>
    <t>BF640302</t>
  </si>
  <si>
    <t>Guibare</t>
  </si>
  <si>
    <t>BF490102</t>
  </si>
  <si>
    <t>Pissila</t>
  </si>
  <si>
    <t>BF490310</t>
  </si>
  <si>
    <t>Kaya</t>
  </si>
  <si>
    <t>BF490304</t>
  </si>
  <si>
    <t>Djibasso</t>
  </si>
  <si>
    <t>BF610104</t>
  </si>
  <si>
    <t>Tougan</t>
  </si>
  <si>
    <t>BF610308</t>
  </si>
  <si>
    <t>Goursi</t>
  </si>
  <si>
    <t>BF540403</t>
  </si>
  <si>
    <t>Lankoue</t>
  </si>
  <si>
    <t>BF610306</t>
  </si>
  <si>
    <t>Kiembara</t>
  </si>
  <si>
    <t>BF610304</t>
  </si>
  <si>
    <t>Rambo</t>
  </si>
  <si>
    <t>BF540309</t>
  </si>
  <si>
    <t>Sabse</t>
  </si>
  <si>
    <t>BF490107</t>
  </si>
  <si>
    <t>Rouko</t>
  </si>
  <si>
    <t>BF490106</t>
  </si>
  <si>
    <t>Tikare</t>
  </si>
  <si>
    <t>BF490108</t>
  </si>
  <si>
    <t>Barsalogho</t>
  </si>
  <si>
    <t>BF490301</t>
  </si>
  <si>
    <t>Solhan</t>
  </si>
  <si>
    <t>BF640304</t>
  </si>
  <si>
    <t>Kongoussi</t>
  </si>
  <si>
    <t>BF490103</t>
  </si>
  <si>
    <t>Koala</t>
  </si>
  <si>
    <t>BF580103</t>
  </si>
  <si>
    <t>Senguenega</t>
  </si>
  <si>
    <t>BF540310</t>
  </si>
  <si>
    <t>Kossouka</t>
  </si>
  <si>
    <t>BF540304</t>
  </si>
  <si>
    <t>Sebba</t>
  </si>
  <si>
    <t>BF640303</t>
  </si>
  <si>
    <t>Zogore</t>
  </si>
  <si>
    <t>BF540313</t>
  </si>
  <si>
    <t>Oula</t>
  </si>
  <si>
    <t>BF540308</t>
  </si>
  <si>
    <t>Yalgo</t>
  </si>
  <si>
    <t>BF490207</t>
  </si>
  <si>
    <t>Bouroum</t>
  </si>
  <si>
    <t>BF490203</t>
  </si>
  <si>
    <t>Nagbingou</t>
  </si>
  <si>
    <t>BF490205</t>
  </si>
  <si>
    <t>Tangaye</t>
  </si>
  <si>
    <t>BF540311</t>
  </si>
  <si>
    <t>Pensa</t>
  </si>
  <si>
    <t>BF490308</t>
  </si>
  <si>
    <t>Namissiguima</t>
  </si>
  <si>
    <t>BF540306</t>
  </si>
  <si>
    <t>Bani</t>
  </si>
  <si>
    <t>BF640201</t>
  </si>
  <si>
    <t>Bourzanga</t>
  </si>
  <si>
    <t>BF490101</t>
  </si>
  <si>
    <t>Titao</t>
  </si>
  <si>
    <t>BF540104</t>
  </si>
  <si>
    <t>Koumbri</t>
  </si>
  <si>
    <t>BF540305</t>
  </si>
  <si>
    <t>Sampelga</t>
  </si>
  <si>
    <t>BF640205</t>
  </si>
  <si>
    <t>Kelbo</t>
  </si>
  <si>
    <t>BF590104</t>
  </si>
  <si>
    <t>Gorgadji</t>
  </si>
  <si>
    <t>BF640204</t>
  </si>
  <si>
    <t>Dori</t>
  </si>
  <si>
    <t>BF640202</t>
  </si>
  <si>
    <t>Arbinda</t>
  </si>
  <si>
    <t>BF590201</t>
  </si>
  <si>
    <t>Seytenga</t>
  </si>
  <si>
    <t>BF640206</t>
  </si>
  <si>
    <t>Bahn</t>
  </si>
  <si>
    <t>BF540101</t>
  </si>
  <si>
    <t>Djibo</t>
  </si>
  <si>
    <t>BF590103</t>
  </si>
  <si>
    <t>Gorom-Gorom</t>
  </si>
  <si>
    <t>BF640102</t>
  </si>
  <si>
    <t>Falagountou</t>
  </si>
  <si>
    <t>BF640203</t>
  </si>
  <si>
    <t>Deou</t>
  </si>
  <si>
    <t>BF640101</t>
  </si>
  <si>
    <t>Markoye</t>
  </si>
  <si>
    <t>BF640103</t>
  </si>
  <si>
    <t>Oursi</t>
  </si>
  <si>
    <t>BF640104</t>
  </si>
  <si>
    <t>Zabre</t>
  </si>
  <si>
    <t>BF480111</t>
  </si>
  <si>
    <t>Dokui</t>
  </si>
  <si>
    <t>BF610105</t>
  </si>
  <si>
    <t>Bourasso</t>
  </si>
  <si>
    <t>BF610103</t>
  </si>
  <si>
    <t>Kalsaka</t>
  </si>
  <si>
    <t>BF540303</t>
  </si>
  <si>
    <t>Tougo</t>
  </si>
  <si>
    <t>BF540405</t>
  </si>
  <si>
    <t>Bassi</t>
  </si>
  <si>
    <t>BF540401</t>
  </si>
  <si>
    <t>Leba</t>
  </si>
  <si>
    <t>BF540404</t>
  </si>
  <si>
    <t>Gomboro</t>
  </si>
  <si>
    <t>BF610302</t>
  </si>
  <si>
    <t>Ouahigouya</t>
  </si>
  <si>
    <t>BF540307</t>
  </si>
  <si>
    <t>Thiou</t>
  </si>
  <si>
    <t>BF540312</t>
  </si>
  <si>
    <t>proportion</t>
  </si>
  <si>
    <t>enquete</t>
  </si>
  <si>
    <r>
      <t xml:space="preserve">Ne jamais touché ici sans demander l'avis de </t>
    </r>
    <r>
      <rPr>
        <b/>
        <sz val="11"/>
        <color theme="0"/>
        <rFont val="Aptos Black"/>
        <family val="2"/>
      </rPr>
      <t>Yams Bindje</t>
    </r>
    <r>
      <rPr>
        <b/>
        <sz val="11"/>
        <color theme="0"/>
        <rFont val="Arial Narrow"/>
        <family val="2"/>
        <scheme val="minor"/>
      </rPr>
      <t xml:space="preserve"> ou HQ</t>
    </r>
  </si>
  <si>
    <t>PCODE</t>
  </si>
  <si>
    <t xml:space="preserve">Admin1 </t>
  </si>
  <si>
    <t>Admin2</t>
  </si>
  <si>
    <t xml:space="preserve">Admin3 </t>
  </si>
  <si>
    <t>Organisation</t>
  </si>
  <si>
    <t>Representativity</t>
  </si>
  <si>
    <t>PND</t>
  </si>
  <si>
    <t>PDI</t>
  </si>
  <si>
    <t>Réfugiés</t>
  </si>
  <si>
    <t>Rétournees</t>
  </si>
  <si>
    <t>Total</t>
  </si>
  <si>
    <t>CM004</t>
  </si>
  <si>
    <t>Extrême-Nord</t>
  </si>
  <si>
    <t>CM004001</t>
  </si>
  <si>
    <t>Diamaré</t>
  </si>
  <si>
    <t>CM004001001</t>
  </si>
  <si>
    <t>Bogo</t>
  </si>
  <si>
    <t>IOM</t>
  </si>
  <si>
    <t>Admin3</t>
  </si>
  <si>
    <t>CM004001002</t>
  </si>
  <si>
    <t>Dargala</t>
  </si>
  <si>
    <t>CM004001003</t>
  </si>
  <si>
    <t>Gazawa</t>
  </si>
  <si>
    <t>CM004001004</t>
  </si>
  <si>
    <t>Maroua 1er</t>
  </si>
  <si>
    <t>CM004001005</t>
  </si>
  <si>
    <t>Maroua 2e</t>
  </si>
  <si>
    <t>CM004001006</t>
  </si>
  <si>
    <t>Maroua 3e</t>
  </si>
  <si>
    <t>CM004001007</t>
  </si>
  <si>
    <t>Meri</t>
  </si>
  <si>
    <t>CM004001008</t>
  </si>
  <si>
    <t>Ndoukoula</t>
  </si>
  <si>
    <t>CM004001009</t>
  </si>
  <si>
    <t>Pette</t>
  </si>
  <si>
    <t>CM004002</t>
  </si>
  <si>
    <t>Logone-et-Chari</t>
  </si>
  <si>
    <t>CM004002001</t>
  </si>
  <si>
    <t>Blangoua</t>
  </si>
  <si>
    <t>CM004002002</t>
  </si>
  <si>
    <t>Darak</t>
  </si>
  <si>
    <t>CM004002003</t>
  </si>
  <si>
    <t>Fotokol</t>
  </si>
  <si>
    <t>CM004002004</t>
  </si>
  <si>
    <t>Goulfey</t>
  </si>
  <si>
    <t>CM004002005</t>
  </si>
  <si>
    <t>Hile-Alifa</t>
  </si>
  <si>
    <t>CM004002006</t>
  </si>
  <si>
    <t>Kousseri</t>
  </si>
  <si>
    <t>CM004002007</t>
  </si>
  <si>
    <t>Logone-Birni</t>
  </si>
  <si>
    <t>CM004002008</t>
  </si>
  <si>
    <t>Makary</t>
  </si>
  <si>
    <t>CM004002009</t>
  </si>
  <si>
    <t>Waza</t>
  </si>
  <si>
    <t>CM004002010</t>
  </si>
  <si>
    <t>Zina</t>
  </si>
  <si>
    <t>CM004003</t>
  </si>
  <si>
    <t>Mayo-Danay</t>
  </si>
  <si>
    <t>CM004003001</t>
  </si>
  <si>
    <t>Datcheka</t>
  </si>
  <si>
    <t>CM004003002</t>
  </si>
  <si>
    <t>Gobo</t>
  </si>
  <si>
    <t>CM004003003</t>
  </si>
  <si>
    <t>Guere</t>
  </si>
  <si>
    <t>CM004003004</t>
  </si>
  <si>
    <t>Kai-Kai</t>
  </si>
  <si>
    <t>CM004003005</t>
  </si>
  <si>
    <t>Kalfou</t>
  </si>
  <si>
    <t>CM004003006</t>
  </si>
  <si>
    <t>Kar-Hay</t>
  </si>
  <si>
    <t>CM004003007</t>
  </si>
  <si>
    <t>Maga</t>
  </si>
  <si>
    <t>CM004003008</t>
  </si>
  <si>
    <t>Tchatibali</t>
  </si>
  <si>
    <t>CM004003009</t>
  </si>
  <si>
    <t>Vele</t>
  </si>
  <si>
    <t>CM004003010</t>
  </si>
  <si>
    <t>Wina</t>
  </si>
  <si>
    <t>CM004003011</t>
  </si>
  <si>
    <t>Yagoua</t>
  </si>
  <si>
    <t>CM004004</t>
  </si>
  <si>
    <t>Mayo-Kani</t>
  </si>
  <si>
    <t>CM004004001</t>
  </si>
  <si>
    <t>Guidiguis</t>
  </si>
  <si>
    <t>CM004004002</t>
  </si>
  <si>
    <t>Kaele</t>
  </si>
  <si>
    <t>CM004004003</t>
  </si>
  <si>
    <t>Mindif</t>
  </si>
  <si>
    <t>CM004004004</t>
  </si>
  <si>
    <t>Moulvoudaye</t>
  </si>
  <si>
    <t>CM004004005</t>
  </si>
  <si>
    <t>Moutourwa</t>
  </si>
  <si>
    <t>CM004004006</t>
  </si>
  <si>
    <t>Porhi</t>
  </si>
  <si>
    <t>CM004004007</t>
  </si>
  <si>
    <t>Taibong</t>
  </si>
  <si>
    <t>CM004005</t>
  </si>
  <si>
    <t>Mayo-Sava</t>
  </si>
  <si>
    <t>CM004005001</t>
  </si>
  <si>
    <t>Kolofata</t>
  </si>
  <si>
    <t>CM004005002</t>
  </si>
  <si>
    <t>Mora</t>
  </si>
  <si>
    <t>CM004005003</t>
  </si>
  <si>
    <t>Tokombere</t>
  </si>
  <si>
    <t>CM004006</t>
  </si>
  <si>
    <t>Mayo-Tsanaga</t>
  </si>
  <si>
    <t>CM004006001</t>
  </si>
  <si>
    <t>Bourrha</t>
  </si>
  <si>
    <t>CM004006002</t>
  </si>
  <si>
    <t>Hina</t>
  </si>
  <si>
    <t>CM004006003</t>
  </si>
  <si>
    <t>Koza</t>
  </si>
  <si>
    <t>CM004006004</t>
  </si>
  <si>
    <t>Mayo-Moskota</t>
  </si>
  <si>
    <t>CM004006005</t>
  </si>
  <si>
    <t>Mogode</t>
  </si>
  <si>
    <t>CM004006006</t>
  </si>
  <si>
    <t>Mokolo</t>
  </si>
  <si>
    <t>CM004006007</t>
  </si>
  <si>
    <t>Soulede-Roua</t>
  </si>
  <si>
    <t>CM010</t>
  </si>
  <si>
    <t>Sud-Ouest</t>
  </si>
  <si>
    <t>CM010006</t>
  </si>
  <si>
    <t>Ndian</t>
  </si>
  <si>
    <t>Pop admin3</t>
  </si>
  <si>
    <t>final adjusted up to multiple of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</si>
</sst>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_ * #,##0.00_ ;_ * \-#,##0.00_ ;_ * &quot;-&quot;??_ ;_ @_ "/>
    <numFmt numFmtId="165" formatCode="[$-809]dd\ mmmm\ yyyy;@"/>
    <numFmt numFmtId="166" formatCode="_-* #,##0.00\ _€_-;\-* #,##0.00\ _€_-;_-* &quot;-&quot;??\ _€_-;_-@_-"/>
    <numFmt numFmtId="167" formatCode="0.0%"/>
  </numFmts>
  <fonts count="34">
    <font>
      <sz val="10"/>
      <color theme="1"/>
      <name val="Arial Narrow"/>
      <scheme val="minor"/>
    </font>
    <font>
      <sz val="11"/>
      <color theme="1"/>
      <name val="Arial Narrow"/>
      <family val="2"/>
      <scheme val="minor"/>
    </font>
    <font>
      <sz val="11"/>
      <color theme="1"/>
      <name val="Arial Narrow"/>
      <family val="2"/>
      <scheme val="minor"/>
    </font>
    <font>
      <sz val="11"/>
      <color theme="1"/>
      <name val="Arial Narrow"/>
      <family val="2"/>
      <scheme val="minor"/>
    </font>
    <font>
      <sz val="11"/>
      <color theme="1"/>
      <name val="Arial Narrow"/>
      <family val="2"/>
      <scheme val="minor"/>
    </font>
    <font>
      <sz val="11"/>
      <color theme="1"/>
      <name val="Arial Narrow"/>
      <family val="2"/>
      <scheme val="minor"/>
    </font>
    <font>
      <sz val="11"/>
      <color theme="1"/>
      <name val="Arial Narrow"/>
      <family val="2"/>
      <scheme val="minor"/>
    </font>
    <font>
      <sz val="11"/>
      <color theme="1"/>
      <name val="Arial Narrow"/>
      <family val="2"/>
      <scheme val="minor"/>
    </font>
    <font>
      <sz val="9"/>
      <color theme="1"/>
      <name val="Arial Narrow"/>
      <family val="2"/>
    </font>
    <font>
      <b/>
      <sz val="9"/>
      <color theme="0"/>
      <name val="Arial Narrow"/>
      <family val="2"/>
    </font>
    <font>
      <sz val="10"/>
      <name val="Arial"/>
      <family val="2"/>
    </font>
    <font>
      <sz val="10"/>
      <color theme="1"/>
      <name val="Arial Narrow"/>
      <family val="2"/>
      <scheme val="minor"/>
    </font>
    <font>
      <sz val="12"/>
      <color theme="1"/>
      <name val="Arial Narrow"/>
      <family val="2"/>
      <scheme val="minor"/>
    </font>
    <font>
      <sz val="10"/>
      <color theme="1"/>
      <name val="Inter"/>
      <family val="3"/>
    </font>
    <font>
      <sz val="9"/>
      <color theme="1"/>
      <name val="Arial Narrow"/>
      <family val="2"/>
      <scheme val="minor"/>
    </font>
    <font>
      <b/>
      <sz val="12"/>
      <name val="Calibri"/>
      <family val="2"/>
    </font>
    <font>
      <b/>
      <sz val="12"/>
      <name val="Calibri"/>
      <family val="2"/>
    </font>
    <font>
      <sz val="10"/>
      <color theme="0"/>
      <name val="Arial Narrow"/>
      <family val="2"/>
      <scheme val="minor"/>
    </font>
    <font>
      <b/>
      <sz val="10"/>
      <color theme="0"/>
      <name val="Arial Narrow"/>
      <family val="2"/>
      <scheme val="minor"/>
    </font>
    <font>
      <b/>
      <sz val="11"/>
      <color theme="0"/>
      <name val="Arial Narrow"/>
      <family val="2"/>
    </font>
    <font>
      <b/>
      <sz val="13"/>
      <name val="Arial"/>
      <family val="2"/>
    </font>
    <font>
      <sz val="11"/>
      <name val="Arial"/>
      <family val="2"/>
    </font>
    <font>
      <sz val="11"/>
      <color rgb="FF0000FF"/>
      <name val="Arial"/>
      <family val="2"/>
    </font>
    <font>
      <b/>
      <sz val="12"/>
      <color theme="0"/>
      <name val="Arial Narrow"/>
      <family val="2"/>
      <scheme val="minor"/>
    </font>
    <font>
      <b/>
      <sz val="26"/>
      <color theme="1"/>
      <name val="Arial Narrow"/>
      <family val="2"/>
      <scheme val="minor"/>
    </font>
    <font>
      <b/>
      <sz val="16"/>
      <color theme="0"/>
      <name val="Arial Narrow"/>
      <family val="2"/>
      <scheme val="minor"/>
    </font>
    <font>
      <sz val="10"/>
      <color theme="1"/>
      <name val="Arial Narrow"/>
      <family val="2"/>
      <scheme val="minor"/>
    </font>
    <font>
      <b/>
      <sz val="11"/>
      <color theme="0"/>
      <name val="Arial Narrow"/>
      <family val="2"/>
      <scheme val="minor"/>
    </font>
    <font>
      <b/>
      <sz val="11"/>
      <color theme="0"/>
      <name val="Aptos Black"/>
      <family val="2"/>
    </font>
    <font>
      <sz val="12"/>
      <color rgb="FF000000"/>
      <name val="Roboto Condensed"/>
    </font>
    <font>
      <sz val="10"/>
      <color rgb="FF000000"/>
      <name val="Abadi"/>
      <family val="2"/>
    </font>
    <font>
      <sz val="11"/>
      <color rgb="FF000000"/>
      <name val="Abadi"/>
      <family val="2"/>
    </font>
    <font>
      <sz val="10"/>
      <color rgb="FF215967"/>
      <name val="Abadi"/>
      <family val="2"/>
    </font>
    <font>
      <sz val="12"/>
      <color rgb="FF215967"/>
      <name val="Roboto Condensed"/>
    </font>
  </fonts>
  <fills count="20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auto="1"/>
        <bgColor rgb="FF1B657C"/>
      </patternFill>
    </fill>
    <fill>
      <patternFill patternType="solid">
        <fgColor rgb="FFE6E6E6"/>
        <bgColor rgb="FFE6E6E6"/>
      </patternFill>
    </fill>
    <fill>
      <patternFill patternType="solid">
        <fgColor rgb="FFEE5859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00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EEB9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rgb="FFEE5859"/>
        <bgColor rgb="FF000000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rgb="FF000000"/>
      </left>
      <right style="hair">
        <color indexed="64"/>
      </right>
      <top style="medium">
        <color rgb="FF000000"/>
      </top>
      <bottom style="hair">
        <color indexed="64"/>
      </bottom>
      <diagonal/>
    </border>
    <border>
      <left/>
      <right style="hair">
        <color indexed="64"/>
      </right>
      <top style="medium">
        <color rgb="FF000000"/>
      </top>
      <bottom style="hair">
        <color indexed="64"/>
      </bottom>
      <diagonal/>
    </border>
    <border>
      <left/>
      <right/>
      <top style="medium">
        <color rgb="FF000000"/>
      </top>
      <bottom style="hair">
        <color indexed="64"/>
      </bottom>
      <diagonal/>
    </border>
    <border>
      <left style="medium">
        <color rgb="FF000000"/>
      </left>
      <right/>
      <top style="medium">
        <color rgb="FF000000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rgb="FF000000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</borders>
  <cellStyleXfs count="23">
    <xf numFmtId="0" fontId="0" fillId="0" borderId="0"/>
    <xf numFmtId="0" fontId="10" fillId="0" borderId="3" applyNumberFormat="0" applyFill="0" applyBorder="0" applyAlignment="0" applyProtection="0"/>
    <xf numFmtId="0" fontId="10" fillId="0" borderId="3">
      <alignment vertical="center"/>
    </xf>
    <xf numFmtId="0" fontId="7" fillId="0" borderId="3"/>
    <xf numFmtId="165" fontId="7" fillId="0" borderId="3"/>
    <xf numFmtId="0" fontId="13" fillId="4" borderId="1" applyBorder="0" applyAlignment="0">
      <alignment vertical="center"/>
    </xf>
    <xf numFmtId="43" fontId="7" fillId="0" borderId="3" applyFont="0" applyFill="0" applyBorder="0" applyAlignment="0" applyProtection="0"/>
    <xf numFmtId="0" fontId="12" fillId="0" borderId="3"/>
    <xf numFmtId="164" fontId="12" fillId="0" borderId="3" applyFont="0" applyFill="0" applyBorder="0" applyAlignment="0" applyProtection="0"/>
    <xf numFmtId="9" fontId="7" fillId="0" borderId="3" applyFont="0" applyFill="0" applyBorder="0" applyAlignment="0" applyProtection="0"/>
    <xf numFmtId="164" fontId="12" fillId="0" borderId="3" applyFont="0" applyFill="0" applyBorder="0" applyAlignment="0" applyProtection="0"/>
    <xf numFmtId="0" fontId="11" fillId="0" borderId="3"/>
    <xf numFmtId="0" fontId="10" fillId="0" borderId="3"/>
    <xf numFmtId="0" fontId="15" fillId="5" borderId="6">
      <alignment horizontal="left"/>
    </xf>
    <xf numFmtId="166" fontId="6" fillId="0" borderId="3" applyFont="0" applyFill="0" applyBorder="0" applyAlignment="0" applyProtection="0"/>
    <xf numFmtId="0" fontId="5" fillId="0" borderId="3"/>
    <xf numFmtId="43" fontId="5" fillId="0" borderId="3" applyFont="0" applyFill="0" applyBorder="0" applyAlignment="0" applyProtection="0"/>
    <xf numFmtId="0" fontId="12" fillId="0" borderId="3"/>
    <xf numFmtId="0" fontId="4" fillId="0" borderId="3"/>
    <xf numFmtId="0" fontId="16" fillId="5" borderId="6">
      <alignment horizontal="left"/>
    </xf>
    <xf numFmtId="0" fontId="3" fillId="0" borderId="3"/>
    <xf numFmtId="0" fontId="2" fillId="0" borderId="3"/>
    <xf numFmtId="9" fontId="26" fillId="0" borderId="0" applyFont="0" applyFill="0" applyBorder="0" applyAlignment="0" applyProtection="0"/>
  </cellStyleXfs>
  <cellXfs count="65">
    <xf numFmtId="0" fontId="0" fillId="0" borderId="0" xfId="0"/>
    <xf numFmtId="0" fontId="11" fillId="0" borderId="0" xfId="0" applyFont="1"/>
    <xf numFmtId="1" fontId="0" fillId="0" borderId="0" xfId="0" applyNumberFormat="1"/>
    <xf numFmtId="0" fontId="9" fillId="6" borderId="4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7" fillId="0" borderId="0" xfId="0" applyFont="1"/>
    <xf numFmtId="0" fontId="8" fillId="2" borderId="4" xfId="0" applyFont="1" applyFill="1" applyBorder="1"/>
    <xf numFmtId="0" fontId="19" fillId="6" borderId="4" xfId="0" applyFont="1" applyFill="1" applyBorder="1"/>
    <xf numFmtId="0" fontId="0" fillId="0" borderId="3" xfId="0" applyBorder="1"/>
    <xf numFmtId="1" fontId="9" fillId="7" borderId="2" xfId="0" applyNumberFormat="1" applyFont="1" applyFill="1" applyBorder="1" applyAlignment="1">
      <alignment horizontal="center" vertical="center" wrapText="1"/>
    </xf>
    <xf numFmtId="1" fontId="14" fillId="7" borderId="4" xfId="0" applyNumberFormat="1" applyFont="1" applyFill="1" applyBorder="1"/>
    <xf numFmtId="0" fontId="9" fillId="7" borderId="4" xfId="0" applyFont="1" applyFill="1" applyBorder="1" applyAlignment="1">
      <alignment horizontal="center" vertical="center" wrapText="1"/>
    </xf>
    <xf numFmtId="0" fontId="21" fillId="0" borderId="0" xfId="0" applyFont="1"/>
    <xf numFmtId="167" fontId="22" fillId="3" borderId="0" xfId="0" applyNumberFormat="1" applyFont="1" applyFill="1"/>
    <xf numFmtId="2" fontId="22" fillId="3" borderId="0" xfId="0" applyNumberFormat="1" applyFont="1" applyFill="1"/>
    <xf numFmtId="1" fontId="22" fillId="3" borderId="0" xfId="0" applyNumberFormat="1" applyFont="1" applyFill="1"/>
    <xf numFmtId="0" fontId="18" fillId="7" borderId="0" xfId="0" applyFont="1" applyFill="1"/>
    <xf numFmtId="0" fontId="23" fillId="8" borderId="4" xfId="0" applyFont="1" applyFill="1" applyBorder="1" applyAlignment="1">
      <alignment horizontal="center" vertical="center"/>
    </xf>
    <xf numFmtId="0" fontId="21" fillId="9" borderId="0" xfId="0" applyFont="1" applyFill="1"/>
    <xf numFmtId="167" fontId="22" fillId="10" borderId="0" xfId="0" applyNumberFormat="1" applyFont="1" applyFill="1"/>
    <xf numFmtId="0" fontId="25" fillId="8" borderId="3" xfId="0" applyFont="1" applyFill="1" applyBorder="1" applyAlignment="1">
      <alignment horizontal="center"/>
    </xf>
    <xf numFmtId="9" fontId="0" fillId="0" borderId="0" xfId="22" applyFont="1"/>
    <xf numFmtId="0" fontId="0" fillId="0" borderId="4" xfId="0" applyBorder="1"/>
    <xf numFmtId="0" fontId="0" fillId="7" borderId="4" xfId="0" applyFill="1" applyBorder="1"/>
    <xf numFmtId="0" fontId="27" fillId="6" borderId="4" xfId="0" applyFont="1" applyFill="1" applyBorder="1" applyAlignment="1">
      <alignment horizontal="center"/>
    </xf>
    <xf numFmtId="0" fontId="11" fillId="0" borderId="4" xfId="0" applyFont="1" applyBorder="1"/>
    <xf numFmtId="0" fontId="27" fillId="11" borderId="0" xfId="0" applyFont="1" applyFill="1" applyAlignment="1">
      <alignment vertical="center"/>
    </xf>
    <xf numFmtId="0" fontId="27" fillId="11" borderId="0" xfId="0" applyFont="1" applyFill="1" applyAlignment="1">
      <alignment horizontal="center" vertical="center"/>
    </xf>
    <xf numFmtId="0" fontId="23" fillId="11" borderId="0" xfId="0" applyFont="1" applyFill="1" applyAlignment="1">
      <alignment vertical="center"/>
    </xf>
    <xf numFmtId="0" fontId="23" fillId="11" borderId="0" xfId="0" applyFont="1" applyFill="1" applyAlignment="1">
      <alignment horizontal="center" vertical="center"/>
    </xf>
    <xf numFmtId="0" fontId="29" fillId="12" borderId="7" xfId="0" applyFont="1" applyFill="1" applyBorder="1" applyAlignment="1">
      <alignment horizontal="left" indent="1"/>
    </xf>
    <xf numFmtId="0" fontId="29" fillId="12" borderId="8" xfId="0" applyFont="1" applyFill="1" applyBorder="1" applyAlignment="1">
      <alignment horizontal="left" indent="1"/>
    </xf>
    <xf numFmtId="0" fontId="29" fillId="12" borderId="9" xfId="0" applyFont="1" applyFill="1" applyBorder="1" applyAlignment="1">
      <alignment horizontal="left" indent="1"/>
    </xf>
    <xf numFmtId="0" fontId="29" fillId="13" borderId="10" xfId="0" applyFont="1" applyFill="1" applyBorder="1" applyAlignment="1">
      <alignment horizontal="center"/>
    </xf>
    <xf numFmtId="0" fontId="29" fillId="14" borderId="11" xfId="0" applyFont="1" applyFill="1" applyBorder="1" applyAlignment="1">
      <alignment horizontal="center"/>
    </xf>
    <xf numFmtId="0" fontId="29" fillId="12" borderId="17" xfId="0" applyFont="1" applyFill="1" applyBorder="1" applyAlignment="1">
      <alignment horizontal="left" indent="1"/>
    </xf>
    <xf numFmtId="0" fontId="29" fillId="12" borderId="18" xfId="0" applyFont="1" applyFill="1" applyBorder="1" applyAlignment="1">
      <alignment horizontal="left" indent="1"/>
    </xf>
    <xf numFmtId="0" fontId="29" fillId="12" borderId="19" xfId="0" applyFont="1" applyFill="1" applyBorder="1" applyAlignment="1">
      <alignment horizontal="left" indent="1"/>
    </xf>
    <xf numFmtId="0" fontId="29" fillId="13" borderId="20" xfId="0" applyFont="1" applyFill="1" applyBorder="1" applyAlignment="1">
      <alignment horizontal="center"/>
    </xf>
    <xf numFmtId="0" fontId="29" fillId="14" borderId="0" xfId="0" applyFont="1" applyFill="1" applyAlignment="1">
      <alignment horizontal="center"/>
    </xf>
    <xf numFmtId="0" fontId="29" fillId="17" borderId="21" xfId="0" applyFont="1" applyFill="1" applyBorder="1"/>
    <xf numFmtId="0" fontId="29" fillId="17" borderId="16" xfId="0" applyFont="1" applyFill="1" applyBorder="1"/>
    <xf numFmtId="0" fontId="29" fillId="17" borderId="22" xfId="0" applyFont="1" applyFill="1" applyBorder="1"/>
    <xf numFmtId="0" fontId="29" fillId="18" borderId="11" xfId="0" applyFont="1" applyFill="1" applyBorder="1" applyAlignment="1">
      <alignment horizontal="center"/>
    </xf>
    <xf numFmtId="0" fontId="27" fillId="9" borderId="0" xfId="0" applyFont="1" applyFill="1" applyAlignment="1">
      <alignment wrapText="1"/>
    </xf>
    <xf numFmtId="0" fontId="30" fillId="12" borderId="7" xfId="0" applyFont="1" applyFill="1" applyBorder="1" applyAlignment="1">
      <alignment vertical="center"/>
    </xf>
    <xf numFmtId="0" fontId="30" fillId="12" borderId="8" xfId="0" applyFont="1" applyFill="1" applyBorder="1" applyAlignment="1">
      <alignment vertical="center"/>
    </xf>
    <xf numFmtId="0" fontId="30" fillId="12" borderId="9" xfId="0" applyFont="1" applyFill="1" applyBorder="1" applyAlignment="1">
      <alignment vertical="center"/>
    </xf>
    <xf numFmtId="0" fontId="31" fillId="13" borderId="10" xfId="0" applyFont="1" applyFill="1" applyBorder="1" applyAlignment="1">
      <alignment vertical="center"/>
    </xf>
    <xf numFmtId="0" fontId="32" fillId="15" borderId="12" xfId="0" applyFont="1" applyFill="1" applyBorder="1" applyAlignment="1">
      <alignment vertical="center"/>
    </xf>
    <xf numFmtId="0" fontId="32" fillId="15" borderId="13" xfId="0" applyFont="1" applyFill="1" applyBorder="1" applyAlignment="1">
      <alignment vertical="center"/>
    </xf>
    <xf numFmtId="0" fontId="32" fillId="15" borderId="14" xfId="0" applyFont="1" applyFill="1" applyBorder="1" applyAlignment="1">
      <alignment vertical="center"/>
    </xf>
    <xf numFmtId="0" fontId="30" fillId="16" borderId="15" xfId="0" applyFont="1" applyFill="1" applyBorder="1" applyAlignment="1">
      <alignment vertical="center"/>
    </xf>
    <xf numFmtId="0" fontId="33" fillId="15" borderId="12" xfId="0" applyFont="1" applyFill="1" applyBorder="1"/>
    <xf numFmtId="0" fontId="33" fillId="15" borderId="13" xfId="0" applyFont="1" applyFill="1" applyBorder="1"/>
    <xf numFmtId="0" fontId="33" fillId="15" borderId="14" xfId="0" applyFont="1" applyFill="1" applyBorder="1"/>
    <xf numFmtId="0" fontId="29" fillId="16" borderId="15" xfId="0" applyFont="1" applyFill="1" applyBorder="1"/>
    <xf numFmtId="0" fontId="1" fillId="0" borderId="4" xfId="0" applyFont="1" applyBorder="1" applyAlignment="1">
      <alignment horizontal="center" vertical="center"/>
    </xf>
    <xf numFmtId="0" fontId="31" fillId="19" borderId="7" xfId="0" applyFont="1" applyFill="1" applyBorder="1" applyAlignment="1">
      <alignment vertical="center"/>
    </xf>
    <xf numFmtId="0" fontId="31" fillId="19" borderId="8" xfId="0" applyFont="1" applyFill="1" applyBorder="1" applyAlignment="1">
      <alignment vertical="center"/>
    </xf>
    <xf numFmtId="0" fontId="31" fillId="19" borderId="9" xfId="0" applyFont="1" applyFill="1" applyBorder="1" applyAlignment="1">
      <alignment vertical="center"/>
    </xf>
    <xf numFmtId="0" fontId="31" fillId="19" borderId="10" xfId="0" applyFont="1" applyFill="1" applyBorder="1" applyAlignment="1">
      <alignment vertical="center"/>
    </xf>
    <xf numFmtId="0" fontId="20" fillId="0" borderId="0" xfId="0" applyFont="1"/>
    <xf numFmtId="0" fontId="24" fillId="0" borderId="3" xfId="0" applyFont="1" applyBorder="1" applyAlignment="1">
      <alignment horizontal="center" vertical="center"/>
    </xf>
  </cellXfs>
  <cellStyles count="23">
    <cellStyle name="Comma 2" xfId="10" xr:uid="{CA8783CB-31CA-4A48-945D-FABF2E313C83}"/>
    <cellStyle name="Comma 3" xfId="6" xr:uid="{E76C065B-7D79-4BD4-919D-340100A0EEE9}"/>
    <cellStyle name="Comma 4" xfId="16" xr:uid="{8A80C7EE-D80C-4FF8-A9EC-34A0326CD2B0}"/>
    <cellStyle name="Milliers 2" xfId="8" xr:uid="{EA36A26D-4601-45C4-AF98-5680FE815F64}"/>
    <cellStyle name="Milliers 4" xfId="14" xr:uid="{DFE280A0-28E5-4214-9DBA-4177EC2EEBA7}"/>
    <cellStyle name="Normal" xfId="0" builtinId="0"/>
    <cellStyle name="Normal 10" xfId="21" xr:uid="{3352D80A-FDC6-4B0B-A3AD-F175D88CAD2E}"/>
    <cellStyle name="Normal 2" xfId="2" xr:uid="{E06E099D-058B-40ED-BD18-A320421B7D0A}"/>
    <cellStyle name="Normal 2 2" xfId="4" xr:uid="{3ACD2D73-F706-4CCC-B4E6-3E3161FA2AEC}"/>
    <cellStyle name="Normal 2 3" xfId="17" xr:uid="{DD081267-69DF-445E-8A39-D454C50C135C}"/>
    <cellStyle name="Normal 2 4" xfId="1" xr:uid="{5DB71DB3-CEB9-4FA5-A395-3AAA12FA2F19}"/>
    <cellStyle name="Normal 3" xfId="7" xr:uid="{E3F55FF8-D68D-4A62-BF4D-5ECE0DF22E2A}"/>
    <cellStyle name="Normal 4" xfId="3" xr:uid="{B3AA917A-3E84-491D-A229-0A0306C58132}"/>
    <cellStyle name="Normal 5" xfId="11" xr:uid="{4A81EBE0-12B6-4305-BB75-CD842EE3D8C1}"/>
    <cellStyle name="Normal 6" xfId="12" xr:uid="{D618660F-BCDF-408A-B99A-C1F6D6FDBD06}"/>
    <cellStyle name="Normal 7" xfId="15" xr:uid="{AE02A473-0B5D-4D54-B9CC-8922D786C418}"/>
    <cellStyle name="Normal 8" xfId="18" xr:uid="{C97DAA3F-2807-40FC-95EF-EE125F9900F8}"/>
    <cellStyle name="Normal 9" xfId="20" xr:uid="{194843FF-C3D0-4856-B9A2-697702BBA4B1}"/>
    <cellStyle name="Percent" xfId="22" builtinId="5"/>
    <cellStyle name="Percent 2" xfId="9" xr:uid="{585A9A1D-2474-483B-B374-C74AF31F3EFA}"/>
    <cellStyle name="Style 1" xfId="5" xr:uid="{036DBBFD-06EA-42CE-A845-BA5EDBBCCC4F}"/>
    <cellStyle name="STYLE0" xfId="13" xr:uid="{B211EA6F-E47B-450E-878D-68D8939784E5}"/>
    <cellStyle name="STYLE0 2" xfId="19" xr:uid="{6C992D4A-806D-4AD4-8565-D06F72CD33B7}"/>
  </cellStyles>
  <dxfs count="0"/>
  <tableStyles count="2" defaultTableStyle="TableStyleMedium2" defaultPivotStyle="PivotStyleLight16">
    <tableStyle name="CCCM Cluster Styles" table="0" count="0" xr9:uid="{F49FEDEB-6CA1-43E8-8A97-1DFADCF51611}"/>
    <tableStyle name="Invisible" pivot="0" table="0" count="0" xr9:uid="{9643D0CC-EC3B-4968-87DE-0FEE8E563BFA}"/>
  </tableStyles>
  <colors>
    <mruColors>
      <color rgb="FFEE58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 Narrow"/>
        <a:ea typeface="Arial Narrow"/>
        <a:cs typeface="Arial Narrow"/>
      </a:majorFont>
      <a:minorFont>
        <a:latin typeface="Arial Narrow"/>
        <a:ea typeface="Arial Narrow"/>
        <a:cs typeface="Arial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66AB6-187B-4AF3-B419-71050C8759CB}">
  <dimension ref="A1:AE59"/>
  <sheetViews>
    <sheetView showGridLines="0" tabSelected="1" zoomScale="66" zoomScaleNormal="66" workbookViewId="0">
      <selection activeCell="D12" sqref="D12"/>
    </sheetView>
  </sheetViews>
  <sheetFormatPr defaultRowHeight="13"/>
  <cols>
    <col min="1" max="1" width="62.109375" customWidth="1"/>
    <col min="2" max="2" width="57.77734375" customWidth="1"/>
    <col min="3" max="3" width="98.21875" customWidth="1"/>
    <col min="4" max="4" width="52.44140625" customWidth="1"/>
    <col min="6" max="6" width="20.88671875" customWidth="1"/>
    <col min="7" max="7" width="22.88671875" customWidth="1"/>
    <col min="8" max="8" width="25.21875" customWidth="1"/>
    <col min="9" max="9" width="22.5546875" customWidth="1"/>
    <col min="10" max="10" width="28.21875" customWidth="1"/>
    <col min="11" max="11" width="19.109375" customWidth="1"/>
    <col min="12" max="12" width="14.88671875" customWidth="1"/>
    <col min="13" max="13" width="22.21875" customWidth="1"/>
    <col min="14" max="14" width="23.44140625" customWidth="1"/>
    <col min="15" max="15" width="15.88671875" customWidth="1"/>
    <col min="19" max="31" width="27.5546875" customWidth="1"/>
  </cols>
  <sheetData>
    <row r="1" spans="1:31" ht="16.5">
      <c r="A1" s="63" t="s">
        <v>0</v>
      </c>
      <c r="B1" s="63"/>
      <c r="C1" s="63"/>
    </row>
    <row r="3" spans="1:31" ht="14">
      <c r="A3" s="13" t="s">
        <v>1</v>
      </c>
      <c r="B3" s="14">
        <v>0.9</v>
      </c>
    </row>
    <row r="4" spans="1:31" ht="14">
      <c r="A4" s="13" t="s">
        <v>2</v>
      </c>
      <c r="B4" s="14">
        <v>0.1</v>
      </c>
    </row>
    <row r="5" spans="1:31" ht="16" customHeight="1">
      <c r="A5" s="19" t="s">
        <v>3</v>
      </c>
      <c r="B5" s="20">
        <v>0.5</v>
      </c>
      <c r="C5" s="45" t="s">
        <v>680</v>
      </c>
    </row>
    <row r="6" spans="1:31" ht="14">
      <c r="A6" s="13" t="s">
        <v>4</v>
      </c>
      <c r="B6" s="15">
        <v>0.06</v>
      </c>
    </row>
    <row r="7" spans="1:31" ht="14">
      <c r="A7" s="13" t="s">
        <v>5</v>
      </c>
      <c r="B7" s="16">
        <v>6</v>
      </c>
    </row>
    <row r="8" spans="1:31" ht="14">
      <c r="A8" s="13" t="s">
        <v>6</v>
      </c>
      <c r="B8" s="14">
        <v>0.1</v>
      </c>
    </row>
    <row r="11" spans="1:31" ht="26.15" customHeight="1" thickBot="1">
      <c r="A11" s="18" t="s">
        <v>7</v>
      </c>
      <c r="B11" s="18" t="s">
        <v>8</v>
      </c>
      <c r="C11" s="18" t="s">
        <v>9</v>
      </c>
      <c r="D11" s="18" t="s">
        <v>10</v>
      </c>
      <c r="F11" s="27" t="s">
        <v>681</v>
      </c>
      <c r="G11" s="27" t="s">
        <v>682</v>
      </c>
      <c r="H11" s="27" t="s">
        <v>681</v>
      </c>
      <c r="I11" s="27" t="s">
        <v>683</v>
      </c>
      <c r="J11" s="28" t="s">
        <v>685</v>
      </c>
      <c r="K11" s="27" t="s">
        <v>687</v>
      </c>
      <c r="L11" s="27" t="s">
        <v>688</v>
      </c>
      <c r="M11" s="27" t="s">
        <v>689</v>
      </c>
      <c r="N11" s="27" t="s">
        <v>690</v>
      </c>
      <c r="O11" s="27" t="s">
        <v>691</v>
      </c>
      <c r="S11" s="29" t="s">
        <v>681</v>
      </c>
      <c r="T11" s="29" t="s">
        <v>682</v>
      </c>
      <c r="U11" s="29" t="s">
        <v>681</v>
      </c>
      <c r="V11" s="29" t="s">
        <v>683</v>
      </c>
      <c r="W11" s="29" t="s">
        <v>681</v>
      </c>
      <c r="X11" s="29" t="s">
        <v>684</v>
      </c>
      <c r="Y11" s="30" t="s">
        <v>685</v>
      </c>
      <c r="Z11" s="30" t="s">
        <v>686</v>
      </c>
      <c r="AA11" s="29" t="s">
        <v>687</v>
      </c>
      <c r="AB11" s="29" t="s">
        <v>688</v>
      </c>
      <c r="AC11" s="29" t="s">
        <v>689</v>
      </c>
      <c r="AD11" s="29" t="s">
        <v>690</v>
      </c>
      <c r="AE11" s="29" t="s">
        <v>691</v>
      </c>
    </row>
    <row r="12" spans="1:31" ht="29.15" customHeight="1" thickBot="1">
      <c r="A12" s="58">
        <v>4854</v>
      </c>
      <c r="B12" s="58">
        <v>2106</v>
      </c>
      <c r="C12" s="58">
        <v>1746</v>
      </c>
      <c r="D12" s="58">
        <v>600</v>
      </c>
      <c r="F12" s="46" t="s">
        <v>692</v>
      </c>
      <c r="G12" s="47" t="s">
        <v>693</v>
      </c>
      <c r="H12" s="47" t="s">
        <v>694</v>
      </c>
      <c r="I12" s="48" t="s">
        <v>695</v>
      </c>
      <c r="J12" s="49" t="s">
        <v>698</v>
      </c>
      <c r="K12" s="50">
        <v>918</v>
      </c>
      <c r="L12" s="51">
        <v>312</v>
      </c>
      <c r="M12" s="51">
        <v>0</v>
      </c>
      <c r="N12" s="52">
        <v>0</v>
      </c>
      <c r="O12" s="53">
        <v>1230</v>
      </c>
      <c r="S12" s="31" t="s">
        <v>692</v>
      </c>
      <c r="T12" s="32" t="s">
        <v>693</v>
      </c>
      <c r="U12" s="32" t="s">
        <v>694</v>
      </c>
      <c r="V12" s="33" t="s">
        <v>695</v>
      </c>
      <c r="W12" s="32" t="s">
        <v>696</v>
      </c>
      <c r="X12" s="33" t="s">
        <v>697</v>
      </c>
      <c r="Y12" s="34" t="s">
        <v>698</v>
      </c>
      <c r="Z12" s="35" t="s">
        <v>699</v>
      </c>
      <c r="AA12" s="54">
        <v>102</v>
      </c>
      <c r="AB12" s="55">
        <v>66</v>
      </c>
      <c r="AC12" s="55">
        <v>0</v>
      </c>
      <c r="AD12" s="56">
        <v>0</v>
      </c>
      <c r="AE12" s="57">
        <v>168</v>
      </c>
    </row>
    <row r="13" spans="1:31" ht="16" thickBot="1">
      <c r="A13" s="9"/>
      <c r="B13" s="9"/>
      <c r="C13" s="9"/>
      <c r="F13" s="46" t="s">
        <v>692</v>
      </c>
      <c r="G13" s="47" t="s">
        <v>693</v>
      </c>
      <c r="H13" s="47" t="s">
        <v>716</v>
      </c>
      <c r="I13" s="48" t="s">
        <v>717</v>
      </c>
      <c r="J13" s="49" t="s">
        <v>698</v>
      </c>
      <c r="K13" s="50">
        <v>984</v>
      </c>
      <c r="L13" s="51">
        <v>666</v>
      </c>
      <c r="M13" s="51">
        <v>342</v>
      </c>
      <c r="N13" s="52">
        <v>480</v>
      </c>
      <c r="O13" s="53">
        <v>2472</v>
      </c>
      <c r="S13" s="31" t="s">
        <v>692</v>
      </c>
      <c r="T13" s="32" t="s">
        <v>693</v>
      </c>
      <c r="U13" s="32" t="s">
        <v>694</v>
      </c>
      <c r="V13" s="33" t="s">
        <v>695</v>
      </c>
      <c r="W13" s="32" t="s">
        <v>700</v>
      </c>
      <c r="X13" s="33" t="s">
        <v>701</v>
      </c>
      <c r="Y13" s="34" t="s">
        <v>698</v>
      </c>
      <c r="Z13" s="35" t="s">
        <v>699</v>
      </c>
      <c r="AA13" s="54">
        <v>102</v>
      </c>
      <c r="AB13" s="55">
        <v>0</v>
      </c>
      <c r="AC13" s="55">
        <v>0</v>
      </c>
      <c r="AD13" s="56">
        <v>0</v>
      </c>
      <c r="AE13" s="57">
        <v>102</v>
      </c>
    </row>
    <row r="14" spans="1:31" ht="16" thickBot="1">
      <c r="A14" s="9"/>
      <c r="B14" s="9"/>
      <c r="C14" s="9"/>
      <c r="F14" s="46" t="s">
        <v>692</v>
      </c>
      <c r="G14" s="47" t="s">
        <v>693</v>
      </c>
      <c r="H14" s="47" t="s">
        <v>738</v>
      </c>
      <c r="I14" s="48" t="s">
        <v>739</v>
      </c>
      <c r="J14" s="49" t="s">
        <v>698</v>
      </c>
      <c r="K14" s="50">
        <v>1116</v>
      </c>
      <c r="L14" s="51">
        <v>342</v>
      </c>
      <c r="M14" s="51">
        <v>0</v>
      </c>
      <c r="N14" s="52">
        <v>756</v>
      </c>
      <c r="O14" s="53">
        <v>2214</v>
      </c>
      <c r="S14" s="31" t="s">
        <v>692</v>
      </c>
      <c r="T14" s="32" t="s">
        <v>693</v>
      </c>
      <c r="U14" s="32" t="s">
        <v>694</v>
      </c>
      <c r="V14" s="33" t="s">
        <v>695</v>
      </c>
      <c r="W14" s="32" t="s">
        <v>702</v>
      </c>
      <c r="X14" s="33" t="s">
        <v>703</v>
      </c>
      <c r="Y14" s="34" t="s">
        <v>698</v>
      </c>
      <c r="Z14" s="35" t="s">
        <v>699</v>
      </c>
      <c r="AA14" s="54">
        <v>102</v>
      </c>
      <c r="AB14" s="55">
        <v>0</v>
      </c>
      <c r="AC14" s="55">
        <v>0</v>
      </c>
      <c r="AD14" s="56">
        <v>0</v>
      </c>
      <c r="AE14" s="57">
        <v>102</v>
      </c>
    </row>
    <row r="15" spans="1:31" ht="20.5" thickBot="1">
      <c r="A15" s="9"/>
      <c r="B15" s="21" t="s">
        <v>11</v>
      </c>
      <c r="C15" s="9"/>
      <c r="F15" s="46" t="s">
        <v>692</v>
      </c>
      <c r="G15" s="47" t="s">
        <v>693</v>
      </c>
      <c r="H15" s="47" t="s">
        <v>762</v>
      </c>
      <c r="I15" s="48" t="s">
        <v>763</v>
      </c>
      <c r="J15" s="49" t="s">
        <v>698</v>
      </c>
      <c r="K15" s="50">
        <v>714</v>
      </c>
      <c r="L15" s="51">
        <v>132</v>
      </c>
      <c r="M15" s="51">
        <v>0</v>
      </c>
      <c r="N15" s="52">
        <v>0</v>
      </c>
      <c r="O15" s="53">
        <v>846</v>
      </c>
      <c r="S15" s="31" t="s">
        <v>692</v>
      </c>
      <c r="T15" s="32" t="s">
        <v>693</v>
      </c>
      <c r="U15" s="32" t="s">
        <v>694</v>
      </c>
      <c r="V15" s="33" t="s">
        <v>695</v>
      </c>
      <c r="W15" s="32" t="s">
        <v>704</v>
      </c>
      <c r="X15" s="33" t="s">
        <v>705</v>
      </c>
      <c r="Y15" s="34" t="s">
        <v>698</v>
      </c>
      <c r="Z15" s="35" t="s">
        <v>699</v>
      </c>
      <c r="AA15" s="54">
        <v>102</v>
      </c>
      <c r="AB15" s="55">
        <v>48</v>
      </c>
      <c r="AC15" s="55">
        <v>0</v>
      </c>
      <c r="AD15" s="56">
        <v>0</v>
      </c>
      <c r="AE15" s="57">
        <v>150</v>
      </c>
    </row>
    <row r="16" spans="1:31" ht="16" thickBot="1">
      <c r="A16" s="9"/>
      <c r="B16" s="64">
        <v>9306</v>
      </c>
      <c r="C16" s="9"/>
      <c r="F16" s="46" t="s">
        <v>692</v>
      </c>
      <c r="G16" s="47" t="s">
        <v>693</v>
      </c>
      <c r="H16" s="47" t="s">
        <v>778</v>
      </c>
      <c r="I16" s="48" t="s">
        <v>779</v>
      </c>
      <c r="J16" s="49" t="s">
        <v>698</v>
      </c>
      <c r="K16" s="50">
        <v>306</v>
      </c>
      <c r="L16" s="51">
        <v>228</v>
      </c>
      <c r="M16" s="51">
        <v>72</v>
      </c>
      <c r="N16" s="52">
        <v>156</v>
      </c>
      <c r="O16" s="53">
        <v>762</v>
      </c>
      <c r="S16" s="31" t="s">
        <v>692</v>
      </c>
      <c r="T16" s="32" t="s">
        <v>693</v>
      </c>
      <c r="U16" s="32" t="s">
        <v>694</v>
      </c>
      <c r="V16" s="33" t="s">
        <v>695</v>
      </c>
      <c r="W16" s="32" t="s">
        <v>706</v>
      </c>
      <c r="X16" s="33" t="s">
        <v>707</v>
      </c>
      <c r="Y16" s="34" t="s">
        <v>698</v>
      </c>
      <c r="Z16" s="35" t="s">
        <v>699</v>
      </c>
      <c r="AA16" s="54">
        <v>102</v>
      </c>
      <c r="AB16" s="55">
        <v>66</v>
      </c>
      <c r="AC16" s="55">
        <v>0</v>
      </c>
      <c r="AD16" s="56">
        <v>0</v>
      </c>
      <c r="AE16" s="57">
        <v>168</v>
      </c>
    </row>
    <row r="17" spans="1:31" ht="16" thickBot="1">
      <c r="A17" s="9"/>
      <c r="B17" s="64"/>
      <c r="C17" s="9"/>
      <c r="F17" s="46" t="s">
        <v>692</v>
      </c>
      <c r="G17" s="47" t="s">
        <v>693</v>
      </c>
      <c r="H17" s="47" t="s">
        <v>786</v>
      </c>
      <c r="I17" s="48" t="s">
        <v>787</v>
      </c>
      <c r="J17" s="49" t="s">
        <v>698</v>
      </c>
      <c r="K17" s="50">
        <v>714</v>
      </c>
      <c r="L17" s="51">
        <v>354</v>
      </c>
      <c r="M17" s="51">
        <v>186</v>
      </c>
      <c r="N17" s="52">
        <v>276</v>
      </c>
      <c r="O17" s="53">
        <v>1530</v>
      </c>
      <c r="S17" s="31" t="s">
        <v>692</v>
      </c>
      <c r="T17" s="32" t="s">
        <v>693</v>
      </c>
      <c r="U17" s="32" t="s">
        <v>694</v>
      </c>
      <c r="V17" s="33" t="s">
        <v>695</v>
      </c>
      <c r="W17" s="32" t="s">
        <v>708</v>
      </c>
      <c r="X17" s="33" t="s">
        <v>709</v>
      </c>
      <c r="Y17" s="34" t="s">
        <v>698</v>
      </c>
      <c r="Z17" s="35" t="s">
        <v>699</v>
      </c>
      <c r="AA17" s="54">
        <v>102</v>
      </c>
      <c r="AB17" s="55">
        <v>66</v>
      </c>
      <c r="AC17" s="55">
        <v>0</v>
      </c>
      <c r="AD17" s="56">
        <v>0</v>
      </c>
      <c r="AE17" s="57">
        <v>168</v>
      </c>
    </row>
    <row r="18" spans="1:31" ht="16" thickBot="1">
      <c r="A18" s="9"/>
      <c r="B18" s="64"/>
      <c r="C18" s="9"/>
      <c r="F18" s="59" t="s">
        <v>802</v>
      </c>
      <c r="G18" s="60" t="s">
        <v>803</v>
      </c>
      <c r="H18" s="60" t="s">
        <v>804</v>
      </c>
      <c r="I18" s="61" t="s">
        <v>805</v>
      </c>
      <c r="J18" s="62" t="s">
        <v>698</v>
      </c>
      <c r="K18" s="50">
        <v>102</v>
      </c>
      <c r="L18" s="51">
        <v>72</v>
      </c>
      <c r="M18" s="51">
        <v>0</v>
      </c>
      <c r="N18" s="52">
        <v>78</v>
      </c>
      <c r="O18" s="53">
        <v>252</v>
      </c>
      <c r="S18" s="31" t="s">
        <v>692</v>
      </c>
      <c r="T18" s="32" t="s">
        <v>693</v>
      </c>
      <c r="U18" s="32" t="s">
        <v>694</v>
      </c>
      <c r="V18" s="33" t="s">
        <v>695</v>
      </c>
      <c r="W18" s="32" t="s">
        <v>710</v>
      </c>
      <c r="X18" s="33" t="s">
        <v>711</v>
      </c>
      <c r="Y18" s="34" t="s">
        <v>698</v>
      </c>
      <c r="Z18" s="35" t="s">
        <v>699</v>
      </c>
      <c r="AA18" s="54">
        <v>102</v>
      </c>
      <c r="AB18" s="55">
        <v>0</v>
      </c>
      <c r="AC18" s="55">
        <v>0</v>
      </c>
      <c r="AD18" s="56">
        <v>0</v>
      </c>
      <c r="AE18" s="57">
        <v>102</v>
      </c>
    </row>
    <row r="19" spans="1:31" ht="16" thickBot="1">
      <c r="A19" s="9"/>
      <c r="B19" s="64"/>
      <c r="C19" s="9"/>
      <c r="K19" s="1"/>
      <c r="S19" s="31" t="s">
        <v>692</v>
      </c>
      <c r="T19" s="32" t="s">
        <v>693</v>
      </c>
      <c r="U19" s="32" t="s">
        <v>694</v>
      </c>
      <c r="V19" s="33" t="s">
        <v>695</v>
      </c>
      <c r="W19" s="32" t="s">
        <v>712</v>
      </c>
      <c r="X19" s="33" t="s">
        <v>713</v>
      </c>
      <c r="Y19" s="34" t="s">
        <v>698</v>
      </c>
      <c r="Z19" s="35" t="s">
        <v>699</v>
      </c>
      <c r="AA19" s="54">
        <v>102</v>
      </c>
      <c r="AB19" s="55">
        <v>0</v>
      </c>
      <c r="AC19" s="55">
        <v>0</v>
      </c>
      <c r="AD19" s="56">
        <v>0</v>
      </c>
      <c r="AE19" s="57">
        <v>102</v>
      </c>
    </row>
    <row r="20" spans="1:31" ht="16" thickBot="1">
      <c r="S20" s="31" t="s">
        <v>692</v>
      </c>
      <c r="T20" s="32" t="s">
        <v>693</v>
      </c>
      <c r="U20" s="32" t="s">
        <v>694</v>
      </c>
      <c r="V20" s="33" t="s">
        <v>695</v>
      </c>
      <c r="W20" s="32" t="s">
        <v>714</v>
      </c>
      <c r="X20" s="33" t="s">
        <v>715</v>
      </c>
      <c r="Y20" s="34" t="s">
        <v>698</v>
      </c>
      <c r="Z20" s="35" t="s">
        <v>699</v>
      </c>
      <c r="AA20" s="54">
        <v>102</v>
      </c>
      <c r="AB20" s="55">
        <v>66</v>
      </c>
      <c r="AC20" s="55">
        <v>0</v>
      </c>
      <c r="AD20" s="56">
        <v>0</v>
      </c>
      <c r="AE20" s="57">
        <v>168</v>
      </c>
    </row>
    <row r="21" spans="1:31" ht="16" thickBot="1">
      <c r="S21" s="31" t="s">
        <v>692</v>
      </c>
      <c r="T21" s="32" t="s">
        <v>693</v>
      </c>
      <c r="U21" s="32" t="s">
        <v>716</v>
      </c>
      <c r="V21" s="33" t="s">
        <v>717</v>
      </c>
      <c r="W21" s="32" t="s">
        <v>718</v>
      </c>
      <c r="X21" s="33" t="s">
        <v>719</v>
      </c>
      <c r="Y21" s="34" t="s">
        <v>698</v>
      </c>
      <c r="Z21" s="35" t="s">
        <v>699</v>
      </c>
      <c r="AA21" s="54">
        <v>78</v>
      </c>
      <c r="AB21" s="55">
        <v>78</v>
      </c>
      <c r="AC21" s="55">
        <v>0</v>
      </c>
      <c r="AD21" s="56">
        <v>66</v>
      </c>
      <c r="AE21" s="57">
        <v>222</v>
      </c>
    </row>
    <row r="22" spans="1:31" ht="16" thickBot="1">
      <c r="S22" s="31" t="s">
        <v>692</v>
      </c>
      <c r="T22" s="32" t="s">
        <v>693</v>
      </c>
      <c r="U22" s="32" t="s">
        <v>716</v>
      </c>
      <c r="V22" s="33" t="s">
        <v>717</v>
      </c>
      <c r="W22" s="32" t="s">
        <v>720</v>
      </c>
      <c r="X22" s="33" t="s">
        <v>721</v>
      </c>
      <c r="Y22" s="34" t="s">
        <v>698</v>
      </c>
      <c r="Z22" s="35" t="s">
        <v>699</v>
      </c>
      <c r="AA22" s="54">
        <v>102</v>
      </c>
      <c r="AB22" s="55">
        <v>66</v>
      </c>
      <c r="AC22" s="55">
        <v>0</v>
      </c>
      <c r="AD22" s="56">
        <v>0</v>
      </c>
      <c r="AE22" s="57">
        <v>168</v>
      </c>
    </row>
    <row r="23" spans="1:31" ht="16" thickBot="1">
      <c r="S23" s="31" t="s">
        <v>692</v>
      </c>
      <c r="T23" s="32" t="s">
        <v>693</v>
      </c>
      <c r="U23" s="32" t="s">
        <v>716</v>
      </c>
      <c r="V23" s="33" t="s">
        <v>717</v>
      </c>
      <c r="W23" s="32" t="s">
        <v>722</v>
      </c>
      <c r="X23" s="33" t="s">
        <v>723</v>
      </c>
      <c r="Y23" s="34" t="s">
        <v>698</v>
      </c>
      <c r="Z23" s="35" t="s">
        <v>699</v>
      </c>
      <c r="AA23" s="54">
        <v>96</v>
      </c>
      <c r="AB23" s="55">
        <v>78</v>
      </c>
      <c r="AC23" s="55">
        <v>72</v>
      </c>
      <c r="AD23" s="56">
        <v>78</v>
      </c>
      <c r="AE23" s="57">
        <v>324</v>
      </c>
    </row>
    <row r="24" spans="1:31" ht="16" thickBot="1">
      <c r="S24" s="31" t="s">
        <v>692</v>
      </c>
      <c r="T24" s="32" t="s">
        <v>693</v>
      </c>
      <c r="U24" s="32" t="s">
        <v>716</v>
      </c>
      <c r="V24" s="33" t="s">
        <v>717</v>
      </c>
      <c r="W24" s="32" t="s">
        <v>724</v>
      </c>
      <c r="X24" s="33" t="s">
        <v>725</v>
      </c>
      <c r="Y24" s="34" t="s">
        <v>698</v>
      </c>
      <c r="Z24" s="35" t="s">
        <v>699</v>
      </c>
      <c r="AA24" s="54">
        <v>102</v>
      </c>
      <c r="AB24" s="55">
        <v>72</v>
      </c>
      <c r="AC24" s="55">
        <v>0</v>
      </c>
      <c r="AD24" s="56">
        <v>48</v>
      </c>
      <c r="AE24" s="57">
        <v>222</v>
      </c>
    </row>
    <row r="25" spans="1:31" ht="16" thickBot="1">
      <c r="S25" s="31" t="s">
        <v>692</v>
      </c>
      <c r="T25" s="32" t="s">
        <v>693</v>
      </c>
      <c r="U25" s="32" t="s">
        <v>716</v>
      </c>
      <c r="V25" s="33" t="s">
        <v>717</v>
      </c>
      <c r="W25" s="32" t="s">
        <v>726</v>
      </c>
      <c r="X25" s="33" t="s">
        <v>727</v>
      </c>
      <c r="Y25" s="34" t="s">
        <v>698</v>
      </c>
      <c r="Z25" s="35" t="s">
        <v>699</v>
      </c>
      <c r="AA25" s="54">
        <v>102</v>
      </c>
      <c r="AB25" s="55">
        <v>78</v>
      </c>
      <c r="AC25" s="55">
        <v>0</v>
      </c>
      <c r="AD25" s="56">
        <v>0</v>
      </c>
      <c r="AE25" s="57">
        <v>180</v>
      </c>
    </row>
    <row r="26" spans="1:31" ht="16" thickBot="1">
      <c r="S26" s="31" t="s">
        <v>692</v>
      </c>
      <c r="T26" s="32" t="s">
        <v>693</v>
      </c>
      <c r="U26" s="32" t="s">
        <v>716</v>
      </c>
      <c r="V26" s="33" t="s">
        <v>717</v>
      </c>
      <c r="W26" s="32" t="s">
        <v>728</v>
      </c>
      <c r="X26" s="33" t="s">
        <v>729</v>
      </c>
      <c r="Y26" s="34" t="s">
        <v>698</v>
      </c>
      <c r="Z26" s="35" t="s">
        <v>699</v>
      </c>
      <c r="AA26" s="54">
        <v>102</v>
      </c>
      <c r="AB26" s="55">
        <v>72</v>
      </c>
      <c r="AC26" s="55">
        <v>72</v>
      </c>
      <c r="AD26" s="56">
        <v>78</v>
      </c>
      <c r="AE26" s="57">
        <v>324</v>
      </c>
    </row>
    <row r="27" spans="1:31" ht="16" thickBot="1">
      <c r="S27" s="31" t="s">
        <v>692</v>
      </c>
      <c r="T27" s="32" t="s">
        <v>693</v>
      </c>
      <c r="U27" s="32" t="s">
        <v>716</v>
      </c>
      <c r="V27" s="33" t="s">
        <v>717</v>
      </c>
      <c r="W27" s="32" t="s">
        <v>730</v>
      </c>
      <c r="X27" s="33" t="s">
        <v>731</v>
      </c>
      <c r="Y27" s="34" t="s">
        <v>698</v>
      </c>
      <c r="Z27" s="35" t="s">
        <v>699</v>
      </c>
      <c r="AA27" s="54">
        <v>102</v>
      </c>
      <c r="AB27" s="55">
        <v>72</v>
      </c>
      <c r="AC27" s="55">
        <v>48</v>
      </c>
      <c r="AD27" s="56">
        <v>78</v>
      </c>
      <c r="AE27" s="57">
        <v>300</v>
      </c>
    </row>
    <row r="28" spans="1:31" ht="16" thickBot="1">
      <c r="S28" s="31" t="s">
        <v>692</v>
      </c>
      <c r="T28" s="32" t="s">
        <v>693</v>
      </c>
      <c r="U28" s="32" t="s">
        <v>716</v>
      </c>
      <c r="V28" s="33" t="s">
        <v>717</v>
      </c>
      <c r="W28" s="32" t="s">
        <v>732</v>
      </c>
      <c r="X28" s="33" t="s">
        <v>733</v>
      </c>
      <c r="Y28" s="34" t="s">
        <v>698</v>
      </c>
      <c r="Z28" s="35" t="s">
        <v>699</v>
      </c>
      <c r="AA28" s="54">
        <v>102</v>
      </c>
      <c r="AB28" s="55">
        <v>78</v>
      </c>
      <c r="AC28" s="55">
        <v>78</v>
      </c>
      <c r="AD28" s="56">
        <v>66</v>
      </c>
      <c r="AE28" s="57">
        <v>324</v>
      </c>
    </row>
    <row r="29" spans="1:31" ht="16" thickBot="1">
      <c r="S29" s="31" t="s">
        <v>692</v>
      </c>
      <c r="T29" s="32" t="s">
        <v>693</v>
      </c>
      <c r="U29" s="32" t="s">
        <v>716</v>
      </c>
      <c r="V29" s="33" t="s">
        <v>717</v>
      </c>
      <c r="W29" s="32" t="s">
        <v>734</v>
      </c>
      <c r="X29" s="33" t="s">
        <v>735</v>
      </c>
      <c r="Y29" s="34" t="s">
        <v>698</v>
      </c>
      <c r="Z29" s="35" t="s">
        <v>699</v>
      </c>
      <c r="AA29" s="54">
        <v>96</v>
      </c>
      <c r="AB29" s="55">
        <v>72</v>
      </c>
      <c r="AC29" s="55">
        <v>72</v>
      </c>
      <c r="AD29" s="56">
        <v>66</v>
      </c>
      <c r="AE29" s="57">
        <v>306</v>
      </c>
    </row>
    <row r="30" spans="1:31" ht="16" thickBot="1">
      <c r="S30" s="31" t="s">
        <v>692</v>
      </c>
      <c r="T30" s="32" t="s">
        <v>693</v>
      </c>
      <c r="U30" s="32" t="s">
        <v>716</v>
      </c>
      <c r="V30" s="33" t="s">
        <v>717</v>
      </c>
      <c r="W30" s="32" t="s">
        <v>736</v>
      </c>
      <c r="X30" s="33" t="s">
        <v>737</v>
      </c>
      <c r="Y30" s="34" t="s">
        <v>698</v>
      </c>
      <c r="Z30" s="35" t="s">
        <v>699</v>
      </c>
      <c r="AA30" s="54">
        <v>102</v>
      </c>
      <c r="AB30" s="55">
        <v>0</v>
      </c>
      <c r="AC30" s="55">
        <v>0</v>
      </c>
      <c r="AD30" s="56">
        <v>0</v>
      </c>
      <c r="AE30" s="57">
        <v>102</v>
      </c>
    </row>
    <row r="31" spans="1:31" ht="16" thickBot="1">
      <c r="S31" s="31" t="s">
        <v>692</v>
      </c>
      <c r="T31" s="32" t="s">
        <v>693</v>
      </c>
      <c r="U31" s="32" t="s">
        <v>738</v>
      </c>
      <c r="V31" s="33" t="s">
        <v>739</v>
      </c>
      <c r="W31" s="32" t="s">
        <v>740</v>
      </c>
      <c r="X31" s="33" t="s">
        <v>741</v>
      </c>
      <c r="Y31" s="34" t="s">
        <v>698</v>
      </c>
      <c r="Z31" s="35" t="s">
        <v>699</v>
      </c>
      <c r="AA31" s="54">
        <v>102</v>
      </c>
      <c r="AB31" s="55">
        <v>0</v>
      </c>
      <c r="AC31" s="55">
        <v>0</v>
      </c>
      <c r="AD31" s="56">
        <v>78</v>
      </c>
      <c r="AE31" s="57">
        <v>180</v>
      </c>
    </row>
    <row r="32" spans="1:31" ht="16" thickBot="1">
      <c r="S32" s="31" t="s">
        <v>692</v>
      </c>
      <c r="T32" s="32" t="s">
        <v>693</v>
      </c>
      <c r="U32" s="32" t="s">
        <v>738</v>
      </c>
      <c r="V32" s="33" t="s">
        <v>739</v>
      </c>
      <c r="W32" s="32" t="s">
        <v>742</v>
      </c>
      <c r="X32" s="33" t="s">
        <v>743</v>
      </c>
      <c r="Y32" s="34" t="s">
        <v>698</v>
      </c>
      <c r="Z32" s="35" t="s">
        <v>699</v>
      </c>
      <c r="AA32" s="54">
        <v>102</v>
      </c>
      <c r="AB32" s="55">
        <v>66</v>
      </c>
      <c r="AC32" s="55">
        <v>0</v>
      </c>
      <c r="AD32" s="56">
        <v>72</v>
      </c>
      <c r="AE32" s="57">
        <v>240</v>
      </c>
    </row>
    <row r="33" spans="19:31" ht="16" thickBot="1">
      <c r="S33" s="31" t="s">
        <v>692</v>
      </c>
      <c r="T33" s="32" t="s">
        <v>693</v>
      </c>
      <c r="U33" s="32" t="s">
        <v>738</v>
      </c>
      <c r="V33" s="33" t="s">
        <v>739</v>
      </c>
      <c r="W33" s="32" t="s">
        <v>744</v>
      </c>
      <c r="X33" s="33" t="s">
        <v>745</v>
      </c>
      <c r="Y33" s="34" t="s">
        <v>698</v>
      </c>
      <c r="Z33" s="35" t="s">
        <v>699</v>
      </c>
      <c r="AA33" s="54">
        <v>102</v>
      </c>
      <c r="AB33" s="55">
        <v>0</v>
      </c>
      <c r="AC33" s="55">
        <v>0</v>
      </c>
      <c r="AD33" s="56">
        <v>66</v>
      </c>
      <c r="AE33" s="57">
        <v>168</v>
      </c>
    </row>
    <row r="34" spans="19:31" ht="16" thickBot="1">
      <c r="S34" s="31" t="s">
        <v>692</v>
      </c>
      <c r="T34" s="32" t="s">
        <v>693</v>
      </c>
      <c r="U34" s="32" t="s">
        <v>738</v>
      </c>
      <c r="V34" s="33" t="s">
        <v>739</v>
      </c>
      <c r="W34" s="32" t="s">
        <v>746</v>
      </c>
      <c r="X34" s="33" t="s">
        <v>747</v>
      </c>
      <c r="Y34" s="34" t="s">
        <v>698</v>
      </c>
      <c r="Z34" s="35" t="s">
        <v>699</v>
      </c>
      <c r="AA34" s="54">
        <v>102</v>
      </c>
      <c r="AB34" s="55">
        <v>78</v>
      </c>
      <c r="AC34" s="55">
        <v>0</v>
      </c>
      <c r="AD34" s="56">
        <v>78</v>
      </c>
      <c r="AE34" s="57">
        <v>258</v>
      </c>
    </row>
    <row r="35" spans="19:31" ht="16" thickBot="1">
      <c r="S35" s="31" t="s">
        <v>692</v>
      </c>
      <c r="T35" s="32" t="s">
        <v>693</v>
      </c>
      <c r="U35" s="32" t="s">
        <v>738</v>
      </c>
      <c r="V35" s="33" t="s">
        <v>739</v>
      </c>
      <c r="W35" s="32" t="s">
        <v>748</v>
      </c>
      <c r="X35" s="33" t="s">
        <v>749</v>
      </c>
      <c r="Y35" s="34" t="s">
        <v>698</v>
      </c>
      <c r="Z35" s="35" t="s">
        <v>699</v>
      </c>
      <c r="AA35" s="54">
        <v>102</v>
      </c>
      <c r="AB35" s="55">
        <v>0</v>
      </c>
      <c r="AC35" s="55">
        <v>0</v>
      </c>
      <c r="AD35" s="56">
        <v>0</v>
      </c>
      <c r="AE35" s="57">
        <v>102</v>
      </c>
    </row>
    <row r="36" spans="19:31" ht="16" thickBot="1">
      <c r="S36" s="31" t="s">
        <v>692</v>
      </c>
      <c r="T36" s="32" t="s">
        <v>693</v>
      </c>
      <c r="U36" s="32" t="s">
        <v>738</v>
      </c>
      <c r="V36" s="33" t="s">
        <v>739</v>
      </c>
      <c r="W36" s="32" t="s">
        <v>750</v>
      </c>
      <c r="X36" s="33" t="s">
        <v>751</v>
      </c>
      <c r="Y36" s="34" t="s">
        <v>698</v>
      </c>
      <c r="Z36" s="35" t="s">
        <v>699</v>
      </c>
      <c r="AA36" s="54">
        <v>102</v>
      </c>
      <c r="AB36" s="55">
        <v>0</v>
      </c>
      <c r="AC36" s="55">
        <v>0</v>
      </c>
      <c r="AD36" s="56">
        <v>78</v>
      </c>
      <c r="AE36" s="57">
        <v>180</v>
      </c>
    </row>
    <row r="37" spans="19:31" ht="16" thickBot="1">
      <c r="S37" s="31" t="s">
        <v>692</v>
      </c>
      <c r="T37" s="32" t="s">
        <v>693</v>
      </c>
      <c r="U37" s="32" t="s">
        <v>738</v>
      </c>
      <c r="V37" s="33" t="s">
        <v>739</v>
      </c>
      <c r="W37" s="32" t="s">
        <v>752</v>
      </c>
      <c r="X37" s="33" t="s">
        <v>753</v>
      </c>
      <c r="Y37" s="34" t="s">
        <v>698</v>
      </c>
      <c r="Z37" s="35" t="s">
        <v>699</v>
      </c>
      <c r="AA37" s="54">
        <v>102</v>
      </c>
      <c r="AB37" s="55">
        <v>72</v>
      </c>
      <c r="AC37" s="55">
        <v>0</v>
      </c>
      <c r="AD37" s="56">
        <v>78</v>
      </c>
      <c r="AE37" s="57">
        <v>252</v>
      </c>
    </row>
    <row r="38" spans="19:31" ht="16" thickBot="1">
      <c r="S38" s="31" t="s">
        <v>692</v>
      </c>
      <c r="T38" s="32" t="s">
        <v>693</v>
      </c>
      <c r="U38" s="32" t="s">
        <v>738</v>
      </c>
      <c r="V38" s="33" t="s">
        <v>739</v>
      </c>
      <c r="W38" s="32" t="s">
        <v>754</v>
      </c>
      <c r="X38" s="33" t="s">
        <v>755</v>
      </c>
      <c r="Y38" s="34" t="s">
        <v>698</v>
      </c>
      <c r="Z38" s="35" t="s">
        <v>699</v>
      </c>
      <c r="AA38" s="54">
        <v>96</v>
      </c>
      <c r="AB38" s="55">
        <v>0</v>
      </c>
      <c r="AC38" s="55">
        <v>0</v>
      </c>
      <c r="AD38" s="56">
        <v>78</v>
      </c>
      <c r="AE38" s="57">
        <v>174</v>
      </c>
    </row>
    <row r="39" spans="19:31" ht="16" thickBot="1">
      <c r="S39" s="31" t="s">
        <v>692</v>
      </c>
      <c r="T39" s="32" t="s">
        <v>693</v>
      </c>
      <c r="U39" s="32" t="s">
        <v>738</v>
      </c>
      <c r="V39" s="33" t="s">
        <v>739</v>
      </c>
      <c r="W39" s="32" t="s">
        <v>756</v>
      </c>
      <c r="X39" s="33" t="s">
        <v>757</v>
      </c>
      <c r="Y39" s="34" t="s">
        <v>698</v>
      </c>
      <c r="Z39" s="35" t="s">
        <v>699</v>
      </c>
      <c r="AA39" s="54">
        <v>102</v>
      </c>
      <c r="AB39" s="55">
        <v>66</v>
      </c>
      <c r="AC39" s="55">
        <v>0</v>
      </c>
      <c r="AD39" s="56">
        <v>78</v>
      </c>
      <c r="AE39" s="57">
        <v>246</v>
      </c>
    </row>
    <row r="40" spans="19:31" ht="16" thickBot="1">
      <c r="S40" s="31" t="s">
        <v>692</v>
      </c>
      <c r="T40" s="32" t="s">
        <v>693</v>
      </c>
      <c r="U40" s="32" t="s">
        <v>738</v>
      </c>
      <c r="V40" s="33" t="s">
        <v>739</v>
      </c>
      <c r="W40" s="32" t="s">
        <v>758</v>
      </c>
      <c r="X40" s="33" t="s">
        <v>759</v>
      </c>
      <c r="Y40" s="34" t="s">
        <v>698</v>
      </c>
      <c r="Z40" s="35" t="s">
        <v>699</v>
      </c>
      <c r="AA40" s="54">
        <v>102</v>
      </c>
      <c r="AB40" s="55">
        <v>0</v>
      </c>
      <c r="AC40" s="55">
        <v>0</v>
      </c>
      <c r="AD40" s="56">
        <v>78</v>
      </c>
      <c r="AE40" s="57">
        <v>180</v>
      </c>
    </row>
    <row r="41" spans="19:31" ht="16" thickBot="1">
      <c r="S41" s="31" t="s">
        <v>692</v>
      </c>
      <c r="T41" s="32" t="s">
        <v>693</v>
      </c>
      <c r="U41" s="32" t="s">
        <v>738</v>
      </c>
      <c r="V41" s="33" t="s">
        <v>739</v>
      </c>
      <c r="W41" s="32" t="s">
        <v>760</v>
      </c>
      <c r="X41" s="33" t="s">
        <v>761</v>
      </c>
      <c r="Y41" s="34" t="s">
        <v>698</v>
      </c>
      <c r="Z41" s="35" t="s">
        <v>699</v>
      </c>
      <c r="AA41" s="54">
        <v>102</v>
      </c>
      <c r="AB41" s="55">
        <v>60</v>
      </c>
      <c r="AC41" s="55">
        <v>0</v>
      </c>
      <c r="AD41" s="56">
        <v>72</v>
      </c>
      <c r="AE41" s="57">
        <v>234</v>
      </c>
    </row>
    <row r="42" spans="19:31" ht="16" thickBot="1">
      <c r="S42" s="31" t="s">
        <v>692</v>
      </c>
      <c r="T42" s="32" t="s">
        <v>693</v>
      </c>
      <c r="U42" s="32" t="s">
        <v>762</v>
      </c>
      <c r="V42" s="33" t="s">
        <v>763</v>
      </c>
      <c r="W42" s="32" t="s">
        <v>764</v>
      </c>
      <c r="X42" s="33" t="s">
        <v>765</v>
      </c>
      <c r="Y42" s="34" t="s">
        <v>698</v>
      </c>
      <c r="Z42" s="35" t="s">
        <v>699</v>
      </c>
      <c r="AA42" s="54">
        <v>102</v>
      </c>
      <c r="AB42" s="55">
        <v>0</v>
      </c>
      <c r="AC42" s="55">
        <v>0</v>
      </c>
      <c r="AD42" s="56">
        <v>0</v>
      </c>
      <c r="AE42" s="57">
        <v>102</v>
      </c>
    </row>
    <row r="43" spans="19:31" ht="16" thickBot="1">
      <c r="S43" s="31" t="s">
        <v>692</v>
      </c>
      <c r="T43" s="32" t="s">
        <v>693</v>
      </c>
      <c r="U43" s="32" t="s">
        <v>762</v>
      </c>
      <c r="V43" s="33" t="s">
        <v>763</v>
      </c>
      <c r="W43" s="32" t="s">
        <v>766</v>
      </c>
      <c r="X43" s="33" t="s">
        <v>767</v>
      </c>
      <c r="Y43" s="34" t="s">
        <v>698</v>
      </c>
      <c r="Z43" s="35" t="s">
        <v>699</v>
      </c>
      <c r="AA43" s="54">
        <v>102</v>
      </c>
      <c r="AB43" s="55">
        <v>60</v>
      </c>
      <c r="AC43" s="55">
        <v>0</v>
      </c>
      <c r="AD43" s="56">
        <v>0</v>
      </c>
      <c r="AE43" s="57">
        <v>162</v>
      </c>
    </row>
    <row r="44" spans="19:31" ht="16" thickBot="1">
      <c r="S44" s="31" t="s">
        <v>692</v>
      </c>
      <c r="T44" s="32" t="s">
        <v>693</v>
      </c>
      <c r="U44" s="32" t="s">
        <v>762</v>
      </c>
      <c r="V44" s="33" t="s">
        <v>763</v>
      </c>
      <c r="W44" s="32" t="s">
        <v>768</v>
      </c>
      <c r="X44" s="33" t="s">
        <v>769</v>
      </c>
      <c r="Y44" s="34" t="s">
        <v>698</v>
      </c>
      <c r="Z44" s="35" t="s">
        <v>699</v>
      </c>
      <c r="AA44" s="54">
        <v>102</v>
      </c>
      <c r="AB44" s="55">
        <v>0</v>
      </c>
      <c r="AC44" s="55">
        <v>0</v>
      </c>
      <c r="AD44" s="56">
        <v>0</v>
      </c>
      <c r="AE44" s="57">
        <v>102</v>
      </c>
    </row>
    <row r="45" spans="19:31" ht="16" thickBot="1">
      <c r="S45" s="31" t="s">
        <v>692</v>
      </c>
      <c r="T45" s="32" t="s">
        <v>693</v>
      </c>
      <c r="U45" s="32" t="s">
        <v>762</v>
      </c>
      <c r="V45" s="33" t="s">
        <v>763</v>
      </c>
      <c r="W45" s="32" t="s">
        <v>770</v>
      </c>
      <c r="X45" s="33" t="s">
        <v>771</v>
      </c>
      <c r="Y45" s="34" t="s">
        <v>698</v>
      </c>
      <c r="Z45" s="35" t="s">
        <v>699</v>
      </c>
      <c r="AA45" s="54">
        <v>102</v>
      </c>
      <c r="AB45" s="55">
        <v>72</v>
      </c>
      <c r="AC45" s="55">
        <v>0</v>
      </c>
      <c r="AD45" s="56">
        <v>0</v>
      </c>
      <c r="AE45" s="57">
        <v>174</v>
      </c>
    </row>
    <row r="46" spans="19:31" ht="16" thickBot="1">
      <c r="S46" s="31" t="s">
        <v>692</v>
      </c>
      <c r="T46" s="32" t="s">
        <v>693</v>
      </c>
      <c r="U46" s="32" t="s">
        <v>762</v>
      </c>
      <c r="V46" s="33" t="s">
        <v>763</v>
      </c>
      <c r="W46" s="32" t="s">
        <v>772</v>
      </c>
      <c r="X46" s="33" t="s">
        <v>773</v>
      </c>
      <c r="Y46" s="34" t="s">
        <v>698</v>
      </c>
      <c r="Z46" s="35" t="s">
        <v>699</v>
      </c>
      <c r="AA46" s="54">
        <v>102</v>
      </c>
      <c r="AB46" s="55">
        <v>0</v>
      </c>
      <c r="AC46" s="55">
        <v>0</v>
      </c>
      <c r="AD46" s="56">
        <v>0</v>
      </c>
      <c r="AE46" s="57">
        <v>102</v>
      </c>
    </row>
    <row r="47" spans="19:31" ht="16" thickBot="1">
      <c r="S47" s="31" t="s">
        <v>692</v>
      </c>
      <c r="T47" s="32" t="s">
        <v>693</v>
      </c>
      <c r="U47" s="32" t="s">
        <v>762</v>
      </c>
      <c r="V47" s="33" t="s">
        <v>763</v>
      </c>
      <c r="W47" s="32" t="s">
        <v>774</v>
      </c>
      <c r="X47" s="33" t="s">
        <v>775</v>
      </c>
      <c r="Y47" s="34" t="s">
        <v>698</v>
      </c>
      <c r="Z47" s="35" t="s">
        <v>699</v>
      </c>
      <c r="AA47" s="54">
        <v>102</v>
      </c>
      <c r="AB47" s="55">
        <v>0</v>
      </c>
      <c r="AC47" s="55">
        <v>0</v>
      </c>
      <c r="AD47" s="56">
        <v>0</v>
      </c>
      <c r="AE47" s="57">
        <v>102</v>
      </c>
    </row>
    <row r="48" spans="19:31" ht="16" thickBot="1">
      <c r="S48" s="31" t="s">
        <v>692</v>
      </c>
      <c r="T48" s="32" t="s">
        <v>693</v>
      </c>
      <c r="U48" s="32" t="s">
        <v>762</v>
      </c>
      <c r="V48" s="33" t="s">
        <v>763</v>
      </c>
      <c r="W48" s="32" t="s">
        <v>776</v>
      </c>
      <c r="X48" s="33" t="s">
        <v>777</v>
      </c>
      <c r="Y48" s="34" t="s">
        <v>698</v>
      </c>
      <c r="Z48" s="35" t="s">
        <v>699</v>
      </c>
      <c r="AA48" s="54">
        <v>102</v>
      </c>
      <c r="AB48" s="55">
        <v>0</v>
      </c>
      <c r="AC48" s="55">
        <v>0</v>
      </c>
      <c r="AD48" s="56">
        <v>0</v>
      </c>
      <c r="AE48" s="57">
        <v>102</v>
      </c>
    </row>
    <row r="49" spans="19:31" ht="16" thickBot="1">
      <c r="S49" s="31" t="s">
        <v>692</v>
      </c>
      <c r="T49" s="32" t="s">
        <v>693</v>
      </c>
      <c r="U49" s="32" t="s">
        <v>778</v>
      </c>
      <c r="V49" s="33" t="s">
        <v>779</v>
      </c>
      <c r="W49" s="32" t="s">
        <v>780</v>
      </c>
      <c r="X49" s="33" t="s">
        <v>781</v>
      </c>
      <c r="Y49" s="34" t="s">
        <v>698</v>
      </c>
      <c r="Z49" s="35" t="s">
        <v>699</v>
      </c>
      <c r="AA49" s="54">
        <v>102</v>
      </c>
      <c r="AB49" s="55">
        <v>78</v>
      </c>
      <c r="AC49" s="55">
        <v>0</v>
      </c>
      <c r="AD49" s="56">
        <v>78</v>
      </c>
      <c r="AE49" s="57">
        <v>258</v>
      </c>
    </row>
    <row r="50" spans="19:31" ht="16" thickBot="1">
      <c r="S50" s="31" t="s">
        <v>692</v>
      </c>
      <c r="T50" s="32" t="s">
        <v>693</v>
      </c>
      <c r="U50" s="32" t="s">
        <v>778</v>
      </c>
      <c r="V50" s="33" t="s">
        <v>779</v>
      </c>
      <c r="W50" s="32" t="s">
        <v>782</v>
      </c>
      <c r="X50" s="33" t="s">
        <v>783</v>
      </c>
      <c r="Y50" s="34" t="s">
        <v>698</v>
      </c>
      <c r="Z50" s="35" t="s">
        <v>699</v>
      </c>
      <c r="AA50" s="54">
        <v>102</v>
      </c>
      <c r="AB50" s="55">
        <v>78</v>
      </c>
      <c r="AC50" s="55">
        <v>72</v>
      </c>
      <c r="AD50" s="56">
        <v>78</v>
      </c>
      <c r="AE50" s="57">
        <v>330</v>
      </c>
    </row>
    <row r="51" spans="19:31" ht="16" thickBot="1">
      <c r="S51" s="31" t="s">
        <v>692</v>
      </c>
      <c r="T51" s="32" t="s">
        <v>693</v>
      </c>
      <c r="U51" s="32" t="s">
        <v>778</v>
      </c>
      <c r="V51" s="33" t="s">
        <v>779</v>
      </c>
      <c r="W51" s="32" t="s">
        <v>784</v>
      </c>
      <c r="X51" s="33" t="s">
        <v>785</v>
      </c>
      <c r="Y51" s="34" t="s">
        <v>698</v>
      </c>
      <c r="Z51" s="35" t="s">
        <v>699</v>
      </c>
      <c r="AA51" s="54">
        <v>102</v>
      </c>
      <c r="AB51" s="55">
        <v>72</v>
      </c>
      <c r="AC51" s="55">
        <v>0</v>
      </c>
      <c r="AD51" s="56">
        <v>0</v>
      </c>
      <c r="AE51" s="57">
        <v>174</v>
      </c>
    </row>
    <row r="52" spans="19:31" ht="16" thickBot="1">
      <c r="S52" s="31" t="s">
        <v>692</v>
      </c>
      <c r="T52" s="32" t="s">
        <v>693</v>
      </c>
      <c r="U52" s="32" t="s">
        <v>786</v>
      </c>
      <c r="V52" s="33" t="s">
        <v>787</v>
      </c>
      <c r="W52" s="32" t="s">
        <v>788</v>
      </c>
      <c r="X52" s="33" t="s">
        <v>789</v>
      </c>
      <c r="Y52" s="34" t="s">
        <v>698</v>
      </c>
      <c r="Z52" s="35" t="s">
        <v>699</v>
      </c>
      <c r="AA52" s="54">
        <v>102</v>
      </c>
      <c r="AB52" s="55">
        <v>0</v>
      </c>
      <c r="AC52" s="55">
        <v>0</v>
      </c>
      <c r="AD52" s="56">
        <v>0</v>
      </c>
      <c r="AE52" s="57">
        <v>102</v>
      </c>
    </row>
    <row r="53" spans="19:31" ht="16" thickBot="1">
      <c r="S53" s="31" t="s">
        <v>692</v>
      </c>
      <c r="T53" s="32" t="s">
        <v>693</v>
      </c>
      <c r="U53" s="32" t="s">
        <v>786</v>
      </c>
      <c r="V53" s="33" t="s">
        <v>787</v>
      </c>
      <c r="W53" s="32" t="s">
        <v>790</v>
      </c>
      <c r="X53" s="33" t="s">
        <v>791</v>
      </c>
      <c r="Y53" s="34" t="s">
        <v>698</v>
      </c>
      <c r="Z53" s="35" t="s">
        <v>699</v>
      </c>
      <c r="AA53" s="54">
        <v>102</v>
      </c>
      <c r="AB53" s="55">
        <v>66</v>
      </c>
      <c r="AC53" s="55">
        <v>0</v>
      </c>
      <c r="AD53" s="56">
        <v>0</v>
      </c>
      <c r="AE53" s="57">
        <v>168</v>
      </c>
    </row>
    <row r="54" spans="19:31" ht="16" thickBot="1">
      <c r="S54" s="31" t="s">
        <v>692</v>
      </c>
      <c r="T54" s="32" t="s">
        <v>693</v>
      </c>
      <c r="U54" s="32" t="s">
        <v>786</v>
      </c>
      <c r="V54" s="33" t="s">
        <v>787</v>
      </c>
      <c r="W54" s="32" t="s">
        <v>792</v>
      </c>
      <c r="X54" s="33" t="s">
        <v>793</v>
      </c>
      <c r="Y54" s="34" t="s">
        <v>698</v>
      </c>
      <c r="Z54" s="35" t="s">
        <v>699</v>
      </c>
      <c r="AA54" s="54">
        <v>102</v>
      </c>
      <c r="AB54" s="55">
        <v>78</v>
      </c>
      <c r="AC54" s="55">
        <v>0</v>
      </c>
      <c r="AD54" s="56">
        <v>72</v>
      </c>
      <c r="AE54" s="57">
        <v>252</v>
      </c>
    </row>
    <row r="55" spans="19:31" ht="16" thickBot="1">
      <c r="S55" s="31" t="s">
        <v>692</v>
      </c>
      <c r="T55" s="32" t="s">
        <v>693</v>
      </c>
      <c r="U55" s="32" t="s">
        <v>786</v>
      </c>
      <c r="V55" s="33" t="s">
        <v>787</v>
      </c>
      <c r="W55" s="32" t="s">
        <v>794</v>
      </c>
      <c r="X55" s="33" t="s">
        <v>795</v>
      </c>
      <c r="Y55" s="34" t="s">
        <v>698</v>
      </c>
      <c r="Z55" s="35" t="s">
        <v>699</v>
      </c>
      <c r="AA55" s="54">
        <v>102</v>
      </c>
      <c r="AB55" s="55">
        <v>78</v>
      </c>
      <c r="AC55" s="55">
        <v>48</v>
      </c>
      <c r="AD55" s="56">
        <v>72</v>
      </c>
      <c r="AE55" s="57">
        <v>300</v>
      </c>
    </row>
    <row r="56" spans="19:31" ht="16" thickBot="1">
      <c r="S56" s="31" t="s">
        <v>692</v>
      </c>
      <c r="T56" s="32" t="s">
        <v>693</v>
      </c>
      <c r="U56" s="32" t="s">
        <v>786</v>
      </c>
      <c r="V56" s="33" t="s">
        <v>787</v>
      </c>
      <c r="W56" s="32" t="s">
        <v>796</v>
      </c>
      <c r="X56" s="33" t="s">
        <v>797</v>
      </c>
      <c r="Y56" s="34" t="s">
        <v>698</v>
      </c>
      <c r="Z56" s="35" t="s">
        <v>699</v>
      </c>
      <c r="AA56" s="54">
        <v>102</v>
      </c>
      <c r="AB56" s="55">
        <v>0</v>
      </c>
      <c r="AC56" s="55">
        <v>0</v>
      </c>
      <c r="AD56" s="56">
        <v>60</v>
      </c>
      <c r="AE56" s="57">
        <v>162</v>
      </c>
    </row>
    <row r="57" spans="19:31" ht="16" thickBot="1">
      <c r="S57" s="31" t="s">
        <v>692</v>
      </c>
      <c r="T57" s="32" t="s">
        <v>693</v>
      </c>
      <c r="U57" s="32" t="s">
        <v>786</v>
      </c>
      <c r="V57" s="33" t="s">
        <v>787</v>
      </c>
      <c r="W57" s="32" t="s">
        <v>798</v>
      </c>
      <c r="X57" s="33" t="s">
        <v>799</v>
      </c>
      <c r="Y57" s="34" t="s">
        <v>698</v>
      </c>
      <c r="Z57" s="35" t="s">
        <v>699</v>
      </c>
      <c r="AA57" s="54">
        <v>102</v>
      </c>
      <c r="AB57" s="55">
        <v>78</v>
      </c>
      <c r="AC57" s="55">
        <v>60</v>
      </c>
      <c r="AD57" s="56">
        <v>72</v>
      </c>
      <c r="AE57" s="57">
        <v>312</v>
      </c>
    </row>
    <row r="58" spans="19:31" ht="16" thickBot="1">
      <c r="S58" s="36" t="s">
        <v>692</v>
      </c>
      <c r="T58" s="37" t="s">
        <v>693</v>
      </c>
      <c r="U58" s="37" t="s">
        <v>786</v>
      </c>
      <c r="V58" s="38" t="s">
        <v>787</v>
      </c>
      <c r="W58" s="37" t="s">
        <v>800</v>
      </c>
      <c r="X58" s="38" t="s">
        <v>801</v>
      </c>
      <c r="Y58" s="39" t="s">
        <v>698</v>
      </c>
      <c r="Z58" s="40" t="s">
        <v>699</v>
      </c>
      <c r="AA58" s="54">
        <v>102</v>
      </c>
      <c r="AB58" s="55">
        <v>54</v>
      </c>
      <c r="AC58" s="55">
        <v>78</v>
      </c>
      <c r="AD58" s="56">
        <v>0</v>
      </c>
      <c r="AE58" s="57">
        <v>234</v>
      </c>
    </row>
    <row r="59" spans="19:31" ht="15.5">
      <c r="S59" s="41" t="s">
        <v>802</v>
      </c>
      <c r="T59" s="42" t="s">
        <v>803</v>
      </c>
      <c r="U59" s="42" t="s">
        <v>804</v>
      </c>
      <c r="V59" s="42" t="s">
        <v>805</v>
      </c>
      <c r="W59" s="42" t="s">
        <v>804</v>
      </c>
      <c r="X59" s="43"/>
      <c r="Y59" s="34" t="s">
        <v>698</v>
      </c>
      <c r="Z59" s="44" t="s">
        <v>683</v>
      </c>
      <c r="AA59" s="54">
        <v>102</v>
      </c>
      <c r="AB59" s="55">
        <v>72</v>
      </c>
      <c r="AC59" s="55">
        <v>0</v>
      </c>
      <c r="AD59" s="56">
        <v>78</v>
      </c>
      <c r="AE59" s="57">
        <v>252</v>
      </c>
    </row>
  </sheetData>
  <mergeCells count="2">
    <mergeCell ref="A1:C1"/>
    <mergeCell ref="B16:B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8F1B3-0F8B-4143-9D92-5ED5C2D11678}">
  <dimension ref="A1:X777"/>
  <sheetViews>
    <sheetView zoomScale="82" workbookViewId="0">
      <pane xSplit="5" topLeftCell="F1" activePane="topRight" state="frozen"/>
      <selection pane="topRight" sqref="A1:XFD1048576"/>
    </sheetView>
  </sheetViews>
  <sheetFormatPr defaultRowHeight="13"/>
  <cols>
    <col min="1" max="1" width="19.44140625" customWidth="1"/>
    <col min="2" max="2" width="26.6640625" customWidth="1"/>
    <col min="3" max="3" width="24.109375" style="2" customWidth="1"/>
    <col min="4" max="4" width="30.33203125" style="2" customWidth="1"/>
    <col min="5" max="5" width="27.6640625" style="2" customWidth="1"/>
    <col min="6" max="6" width="45.5546875" style="2" customWidth="1"/>
    <col min="7" max="7" width="40.77734375" customWidth="1"/>
    <col min="8" max="8" width="17.109375" hidden="1" customWidth="1"/>
    <col min="9" max="9" width="15.109375" hidden="1" customWidth="1"/>
    <col min="10" max="10" width="26.44140625" hidden="1" customWidth="1"/>
    <col min="11" max="12" width="18.33203125" hidden="1" customWidth="1"/>
    <col min="13" max="13" width="34" customWidth="1"/>
    <col min="14" max="14" width="25.77734375" customWidth="1"/>
    <col min="15" max="15" width="31.33203125" customWidth="1"/>
    <col min="16" max="16" width="40.109375" customWidth="1"/>
    <col min="17" max="17" width="33.33203125" customWidth="1"/>
    <col min="18" max="18" width="38.6640625" customWidth="1"/>
    <col min="19" max="19" width="43.33203125" customWidth="1"/>
    <col min="21" max="21" width="23.6640625" customWidth="1"/>
    <col min="22" max="22" width="22.77734375" hidden="1" customWidth="1"/>
    <col min="23" max="23" width="21.77734375" hidden="1" customWidth="1"/>
    <col min="24" max="24" width="17.6640625" hidden="1" customWidth="1"/>
    <col min="25" max="25" width="16.33203125" customWidth="1"/>
    <col min="26" max="26" width="11.33203125" bestFit="1" customWidth="1"/>
  </cols>
  <sheetData>
    <row r="1" spans="1:24" s="6" customFormat="1" ht="33.65" customHeight="1">
      <c r="A1" s="29" t="s">
        <v>681</v>
      </c>
      <c r="B1" s="29" t="s">
        <v>682</v>
      </c>
      <c r="C1" s="29" t="s">
        <v>681</v>
      </c>
      <c r="D1" s="29" t="s">
        <v>683</v>
      </c>
      <c r="E1" s="29" t="s">
        <v>681</v>
      </c>
      <c r="F1" s="29" t="s">
        <v>684</v>
      </c>
      <c r="G1" s="10" t="s">
        <v>806</v>
      </c>
      <c r="H1" s="4" t="s">
        <v>16</v>
      </c>
      <c r="I1" s="4" t="s">
        <v>17</v>
      </c>
      <c r="J1" s="5" t="s">
        <v>18</v>
      </c>
      <c r="K1" s="5" t="s">
        <v>19</v>
      </c>
      <c r="L1" s="5"/>
      <c r="M1" s="5" t="s">
        <v>20</v>
      </c>
      <c r="N1" s="3" t="s">
        <v>21</v>
      </c>
      <c r="O1" s="12" t="s">
        <v>807</v>
      </c>
      <c r="P1" s="3" t="s">
        <v>22</v>
      </c>
      <c r="Q1" s="3" t="s">
        <v>23</v>
      </c>
      <c r="R1" s="3" t="s">
        <v>24</v>
      </c>
      <c r="S1" s="3" t="s">
        <v>25</v>
      </c>
    </row>
    <row r="2" spans="1:24" ht="15.5">
      <c r="A2" s="31" t="s">
        <v>692</v>
      </c>
      <c r="B2" s="32" t="s">
        <v>693</v>
      </c>
      <c r="C2" s="32" t="s">
        <v>694</v>
      </c>
      <c r="D2" s="33" t="s">
        <v>695</v>
      </c>
      <c r="E2" s="32" t="s">
        <v>696</v>
      </c>
      <c r="F2" s="33" t="s">
        <v>697</v>
      </c>
      <c r="G2" s="11">
        <v>131053.74506873453</v>
      </c>
      <c r="H2">
        <v>0.5</v>
      </c>
      <c r="I2">
        <v>0.1</v>
      </c>
      <c r="J2">
        <v>0.9</v>
      </c>
      <c r="K2" s="1">
        <v>0.1</v>
      </c>
      <c r="L2" s="1"/>
      <c r="M2">
        <v>75</v>
      </c>
      <c r="N2" s="1">
        <v>98</v>
      </c>
      <c r="O2" s="17">
        <v>102</v>
      </c>
      <c r="P2">
        <v>89</v>
      </c>
      <c r="Q2">
        <v>13</v>
      </c>
      <c r="R2">
        <v>17</v>
      </c>
      <c r="S2">
        <v>2.1729737402655891</v>
      </c>
    </row>
    <row r="3" spans="1:24" ht="15.5">
      <c r="A3" s="31" t="s">
        <v>692</v>
      </c>
      <c r="B3" s="32" t="s">
        <v>693</v>
      </c>
      <c r="C3" s="32" t="s">
        <v>694</v>
      </c>
      <c r="D3" s="33" t="s">
        <v>695</v>
      </c>
      <c r="E3" s="32" t="s">
        <v>700</v>
      </c>
      <c r="F3" s="33" t="s">
        <v>701</v>
      </c>
      <c r="G3" s="11">
        <v>76741.110362523395</v>
      </c>
      <c r="H3">
        <v>0.5</v>
      </c>
      <c r="I3">
        <v>0.1</v>
      </c>
      <c r="J3">
        <v>0.9</v>
      </c>
      <c r="K3" s="1">
        <v>0.1</v>
      </c>
      <c r="L3" s="1"/>
      <c r="M3">
        <v>75</v>
      </c>
      <c r="N3" s="1">
        <v>98</v>
      </c>
      <c r="O3" s="17">
        <v>102</v>
      </c>
      <c r="P3">
        <v>89</v>
      </c>
      <c r="Q3">
        <v>13</v>
      </c>
      <c r="R3">
        <v>17</v>
      </c>
      <c r="S3">
        <v>1.2724277168052474</v>
      </c>
    </row>
    <row r="4" spans="1:24" ht="15.5">
      <c r="A4" s="31" t="s">
        <v>692</v>
      </c>
      <c r="B4" s="32" t="s">
        <v>693</v>
      </c>
      <c r="C4" s="32" t="s">
        <v>694</v>
      </c>
      <c r="D4" s="33" t="s">
        <v>695</v>
      </c>
      <c r="E4" s="32" t="s">
        <v>702</v>
      </c>
      <c r="F4" s="33" t="s">
        <v>703</v>
      </c>
      <c r="G4" s="11">
        <v>31985.864666223599</v>
      </c>
      <c r="H4">
        <v>0.5</v>
      </c>
      <c r="I4">
        <v>0.1</v>
      </c>
      <c r="J4">
        <v>0.9</v>
      </c>
      <c r="K4" s="1">
        <v>0.1</v>
      </c>
      <c r="L4" s="1"/>
      <c r="M4">
        <v>74</v>
      </c>
      <c r="N4" s="1">
        <v>97</v>
      </c>
      <c r="O4" s="17">
        <v>102</v>
      </c>
      <c r="P4">
        <v>88</v>
      </c>
      <c r="Q4">
        <v>14</v>
      </c>
      <c r="R4">
        <v>17</v>
      </c>
      <c r="S4">
        <v>0.53035068889438786</v>
      </c>
    </row>
    <row r="5" spans="1:24" ht="15.5">
      <c r="A5" s="31" t="s">
        <v>692</v>
      </c>
      <c r="B5" s="32" t="s">
        <v>693</v>
      </c>
      <c r="C5" s="32" t="s">
        <v>694</v>
      </c>
      <c r="D5" s="33" t="s">
        <v>695</v>
      </c>
      <c r="E5" s="32" t="s">
        <v>704</v>
      </c>
      <c r="F5" s="33" t="s">
        <v>705</v>
      </c>
      <c r="G5" s="11">
        <v>158216.47451008455</v>
      </c>
      <c r="H5">
        <v>0.5</v>
      </c>
      <c r="I5">
        <v>0.1</v>
      </c>
      <c r="J5">
        <v>0.9</v>
      </c>
      <c r="K5" s="1">
        <v>0.1</v>
      </c>
      <c r="L5" s="1"/>
      <c r="M5">
        <v>75</v>
      </c>
      <c r="N5" s="1">
        <v>98</v>
      </c>
      <c r="O5" s="17">
        <v>102</v>
      </c>
      <c r="P5">
        <v>89</v>
      </c>
      <c r="Q5">
        <v>13</v>
      </c>
      <c r="R5">
        <v>17</v>
      </c>
      <c r="S5">
        <v>2.6233530694410807</v>
      </c>
      <c r="V5" s="8" t="s">
        <v>30</v>
      </c>
      <c r="W5" s="8" t="s">
        <v>31</v>
      </c>
      <c r="X5" s="8" t="s">
        <v>2</v>
      </c>
    </row>
    <row r="6" spans="1:24" ht="15.5">
      <c r="A6" s="31" t="s">
        <v>692</v>
      </c>
      <c r="B6" s="32" t="s">
        <v>693</v>
      </c>
      <c r="C6" s="32" t="s">
        <v>694</v>
      </c>
      <c r="D6" s="33" t="s">
        <v>695</v>
      </c>
      <c r="E6" s="32" t="s">
        <v>706</v>
      </c>
      <c r="F6" s="33" t="s">
        <v>707</v>
      </c>
      <c r="G6" s="11">
        <v>42673.511395449008</v>
      </c>
      <c r="H6">
        <v>0.5</v>
      </c>
      <c r="I6">
        <v>0.1</v>
      </c>
      <c r="J6">
        <v>0.9</v>
      </c>
      <c r="K6" s="1">
        <v>0.1</v>
      </c>
      <c r="L6" s="1"/>
      <c r="M6">
        <v>75</v>
      </c>
      <c r="N6" s="1">
        <v>98</v>
      </c>
      <c r="O6" s="17">
        <v>102</v>
      </c>
      <c r="P6">
        <v>89</v>
      </c>
      <c r="Q6">
        <v>13</v>
      </c>
      <c r="R6">
        <v>17</v>
      </c>
      <c r="S6">
        <v>0.70756024269738538</v>
      </c>
      <c r="V6" s="7">
        <v>6</v>
      </c>
      <c r="W6" s="7">
        <v>0.06</v>
      </c>
      <c r="X6" s="7">
        <v>0.1</v>
      </c>
    </row>
    <row r="7" spans="1:24" ht="15.5">
      <c r="A7" s="31" t="s">
        <v>692</v>
      </c>
      <c r="B7" s="32" t="s">
        <v>693</v>
      </c>
      <c r="C7" s="32" t="s">
        <v>694</v>
      </c>
      <c r="D7" s="33" t="s">
        <v>695</v>
      </c>
      <c r="E7" s="32" t="s">
        <v>708</v>
      </c>
      <c r="F7" s="33" t="s">
        <v>709</v>
      </c>
      <c r="G7" s="11">
        <v>131620.14132538636</v>
      </c>
      <c r="H7">
        <v>0.5</v>
      </c>
      <c r="I7">
        <v>0.1</v>
      </c>
      <c r="J7">
        <v>0.9</v>
      </c>
      <c r="K7" s="1">
        <v>0.1</v>
      </c>
      <c r="L7" s="1"/>
      <c r="M7">
        <v>75</v>
      </c>
      <c r="N7" s="1">
        <v>98</v>
      </c>
      <c r="O7" s="17">
        <v>102</v>
      </c>
      <c r="P7">
        <v>89</v>
      </c>
      <c r="Q7">
        <v>13</v>
      </c>
      <c r="R7">
        <v>17</v>
      </c>
      <c r="S7">
        <v>2.1823650338272009</v>
      </c>
    </row>
    <row r="8" spans="1:24" ht="15.5">
      <c r="A8" s="31" t="s">
        <v>692</v>
      </c>
      <c r="B8" s="32" t="s">
        <v>693</v>
      </c>
      <c r="C8" s="32" t="s">
        <v>694</v>
      </c>
      <c r="D8" s="33" t="s">
        <v>695</v>
      </c>
      <c r="E8" s="32" t="s">
        <v>710</v>
      </c>
      <c r="F8" s="33" t="s">
        <v>711</v>
      </c>
      <c r="G8" s="11">
        <v>100035.55408225488</v>
      </c>
      <c r="H8">
        <v>0.5</v>
      </c>
      <c r="I8">
        <v>0.1</v>
      </c>
      <c r="J8">
        <v>0.9</v>
      </c>
      <c r="K8" s="1">
        <v>0.1</v>
      </c>
      <c r="L8" s="1"/>
      <c r="M8">
        <v>75</v>
      </c>
      <c r="N8" s="1">
        <v>98</v>
      </c>
      <c r="O8" s="17">
        <v>102</v>
      </c>
      <c r="P8">
        <v>89</v>
      </c>
      <c r="Q8">
        <v>13</v>
      </c>
      <c r="R8">
        <v>17</v>
      </c>
      <c r="S8">
        <v>1.6586678389057119</v>
      </c>
    </row>
    <row r="9" spans="1:24" ht="15.5">
      <c r="A9" s="31" t="s">
        <v>692</v>
      </c>
      <c r="B9" s="32" t="s">
        <v>693</v>
      </c>
      <c r="C9" s="32" t="s">
        <v>694</v>
      </c>
      <c r="D9" s="33" t="s">
        <v>695</v>
      </c>
      <c r="E9" s="32" t="s">
        <v>712</v>
      </c>
      <c r="F9" s="33" t="s">
        <v>713</v>
      </c>
      <c r="G9" s="11">
        <v>57705.339069414993</v>
      </c>
      <c r="H9">
        <v>0.5</v>
      </c>
      <c r="I9">
        <v>0.1</v>
      </c>
      <c r="J9">
        <v>0.9</v>
      </c>
      <c r="K9" s="1">
        <v>0.1</v>
      </c>
      <c r="L9" s="1"/>
      <c r="M9">
        <v>75</v>
      </c>
      <c r="N9" s="1">
        <v>98</v>
      </c>
      <c r="O9" s="17">
        <v>102</v>
      </c>
      <c r="P9">
        <v>89</v>
      </c>
      <c r="Q9">
        <v>13</v>
      </c>
      <c r="R9">
        <v>17</v>
      </c>
      <c r="S9">
        <v>0.95679971911672979</v>
      </c>
    </row>
    <row r="10" spans="1:24" ht="15.5">
      <c r="A10" s="31" t="s">
        <v>692</v>
      </c>
      <c r="B10" s="32" t="s">
        <v>693</v>
      </c>
      <c r="C10" s="32" t="s">
        <v>694</v>
      </c>
      <c r="D10" s="33" t="s">
        <v>695</v>
      </c>
      <c r="E10" s="32" t="s">
        <v>714</v>
      </c>
      <c r="F10" s="33" t="s">
        <v>715</v>
      </c>
      <c r="G10" s="11">
        <v>27111.333331577007</v>
      </c>
      <c r="H10">
        <v>0.5</v>
      </c>
      <c r="I10">
        <v>0.1</v>
      </c>
      <c r="J10">
        <v>0.9</v>
      </c>
      <c r="K10" s="1">
        <v>0.1</v>
      </c>
      <c r="L10" s="1"/>
      <c r="M10">
        <v>74</v>
      </c>
      <c r="N10" s="1">
        <v>97</v>
      </c>
      <c r="O10" s="17">
        <v>102</v>
      </c>
      <c r="P10">
        <v>88</v>
      </c>
      <c r="Q10">
        <v>14</v>
      </c>
      <c r="R10">
        <v>17</v>
      </c>
      <c r="S10">
        <v>0.4495271414197739</v>
      </c>
    </row>
    <row r="11" spans="1:24" ht="15.5">
      <c r="A11" s="31" t="s">
        <v>692</v>
      </c>
      <c r="B11" s="32" t="s">
        <v>693</v>
      </c>
      <c r="C11" s="32" t="s">
        <v>716</v>
      </c>
      <c r="D11" s="33" t="s">
        <v>717</v>
      </c>
      <c r="E11" s="32" t="s">
        <v>718</v>
      </c>
      <c r="F11" s="33" t="s">
        <v>719</v>
      </c>
      <c r="G11" s="11">
        <v>272.11134217659998</v>
      </c>
      <c r="H11">
        <v>0.5</v>
      </c>
      <c r="I11">
        <v>0.1</v>
      </c>
      <c r="J11">
        <v>0.9</v>
      </c>
      <c r="K11" s="1">
        <v>0.1</v>
      </c>
      <c r="L11" s="1"/>
      <c r="M11">
        <v>60</v>
      </c>
      <c r="N11" s="1">
        <v>78</v>
      </c>
      <c r="O11" s="17">
        <v>78</v>
      </c>
      <c r="P11">
        <v>71</v>
      </c>
      <c r="Q11">
        <v>7</v>
      </c>
      <c r="R11">
        <v>13</v>
      </c>
      <c r="S11">
        <v>5.9000712390389568E-3</v>
      </c>
    </row>
    <row r="12" spans="1:24" ht="15.5">
      <c r="A12" s="31" t="s">
        <v>692</v>
      </c>
      <c r="B12" s="32" t="s">
        <v>693</v>
      </c>
      <c r="C12" s="32" t="s">
        <v>716</v>
      </c>
      <c r="D12" s="33" t="s">
        <v>717</v>
      </c>
      <c r="E12" s="32" t="s">
        <v>720</v>
      </c>
      <c r="F12" s="33" t="s">
        <v>721</v>
      </c>
      <c r="G12" s="11">
        <v>4612.1818149693991</v>
      </c>
      <c r="H12">
        <v>0.5</v>
      </c>
      <c r="I12">
        <v>0.1</v>
      </c>
      <c r="J12">
        <v>0.9</v>
      </c>
      <c r="K12" s="1">
        <v>0.1</v>
      </c>
      <c r="L12" s="1"/>
      <c r="M12">
        <v>74</v>
      </c>
      <c r="N12" s="1">
        <v>97</v>
      </c>
      <c r="O12" s="17">
        <v>102</v>
      </c>
      <c r="P12">
        <v>88</v>
      </c>
      <c r="Q12">
        <v>14</v>
      </c>
      <c r="R12">
        <v>17</v>
      </c>
      <c r="S12">
        <v>7.6473586954746028E-2</v>
      </c>
    </row>
    <row r="13" spans="1:24" ht="13.75" customHeight="1">
      <c r="A13" s="31" t="s">
        <v>692</v>
      </c>
      <c r="B13" s="32" t="s">
        <v>693</v>
      </c>
      <c r="C13" s="32" t="s">
        <v>716</v>
      </c>
      <c r="D13" s="33" t="s">
        <v>717</v>
      </c>
      <c r="E13" s="32" t="s">
        <v>722</v>
      </c>
      <c r="F13" s="33" t="s">
        <v>723</v>
      </c>
      <c r="G13" s="11">
        <v>3029.0201369527003</v>
      </c>
      <c r="H13">
        <v>0.5</v>
      </c>
      <c r="I13">
        <v>0.1</v>
      </c>
      <c r="J13">
        <v>0.9</v>
      </c>
      <c r="K13" s="1">
        <v>0.1</v>
      </c>
      <c r="L13" s="1"/>
      <c r="M13">
        <v>73</v>
      </c>
      <c r="N13" s="1">
        <v>95</v>
      </c>
      <c r="O13" s="17">
        <v>96</v>
      </c>
      <c r="P13">
        <v>86</v>
      </c>
      <c r="Q13">
        <v>10</v>
      </c>
      <c r="R13">
        <v>16</v>
      </c>
      <c r="S13">
        <v>5.3362496727483215E-2</v>
      </c>
    </row>
    <row r="14" spans="1:24" ht="13.75" customHeight="1">
      <c r="A14" s="31" t="s">
        <v>692</v>
      </c>
      <c r="B14" s="32" t="s">
        <v>693</v>
      </c>
      <c r="C14" s="32" t="s">
        <v>716</v>
      </c>
      <c r="D14" s="33" t="s">
        <v>717</v>
      </c>
      <c r="E14" s="32" t="s">
        <v>724</v>
      </c>
      <c r="F14" s="33" t="s">
        <v>725</v>
      </c>
      <c r="G14" s="11">
        <v>57598.572561279994</v>
      </c>
      <c r="H14">
        <v>0.5</v>
      </c>
      <c r="I14">
        <v>0.1</v>
      </c>
      <c r="J14">
        <v>0.9</v>
      </c>
      <c r="K14" s="1">
        <v>0.1</v>
      </c>
      <c r="L14" s="1"/>
      <c r="M14">
        <v>75</v>
      </c>
      <c r="N14" s="1">
        <v>98</v>
      </c>
      <c r="O14" s="17">
        <v>102</v>
      </c>
      <c r="P14">
        <v>89</v>
      </c>
      <c r="Q14">
        <v>13</v>
      </c>
      <c r="R14">
        <v>17</v>
      </c>
      <c r="S14">
        <v>0.95502944678765211</v>
      </c>
    </row>
    <row r="15" spans="1:24" ht="13.75" customHeight="1">
      <c r="A15" s="31" t="s">
        <v>692</v>
      </c>
      <c r="B15" s="32" t="s">
        <v>693</v>
      </c>
      <c r="C15" s="32" t="s">
        <v>716</v>
      </c>
      <c r="D15" s="33" t="s">
        <v>717</v>
      </c>
      <c r="E15" s="32" t="s">
        <v>726</v>
      </c>
      <c r="F15" s="33" t="s">
        <v>727</v>
      </c>
      <c r="G15" s="11">
        <v>12032.081609098299</v>
      </c>
      <c r="H15">
        <v>0.5</v>
      </c>
      <c r="I15">
        <v>0.1</v>
      </c>
      <c r="J15">
        <v>0.9</v>
      </c>
      <c r="K15" s="1">
        <v>0.1</v>
      </c>
      <c r="L15" s="1"/>
      <c r="M15">
        <v>74</v>
      </c>
      <c r="N15" s="1">
        <v>97</v>
      </c>
      <c r="O15" s="17">
        <v>102</v>
      </c>
      <c r="P15">
        <v>88</v>
      </c>
      <c r="Q15">
        <v>14</v>
      </c>
      <c r="R15">
        <v>17</v>
      </c>
      <c r="S15">
        <v>0.19950133713149906</v>
      </c>
    </row>
    <row r="16" spans="1:24" ht="15.5">
      <c r="A16" s="31" t="s">
        <v>692</v>
      </c>
      <c r="B16" s="32" t="s">
        <v>693</v>
      </c>
      <c r="C16" s="32" t="s">
        <v>716</v>
      </c>
      <c r="D16" s="33" t="s">
        <v>717</v>
      </c>
      <c r="E16" s="32" t="s">
        <v>728</v>
      </c>
      <c r="F16" s="33" t="s">
        <v>729</v>
      </c>
      <c r="G16" s="11">
        <v>47704.644566892995</v>
      </c>
      <c r="H16">
        <v>0.5</v>
      </c>
      <c r="I16">
        <v>0.1</v>
      </c>
      <c r="J16">
        <v>0.9</v>
      </c>
      <c r="K16" s="1">
        <v>0.1</v>
      </c>
      <c r="L16" s="1"/>
      <c r="M16">
        <v>75</v>
      </c>
      <c r="N16" s="1">
        <v>98</v>
      </c>
      <c r="O16" s="17">
        <v>102</v>
      </c>
      <c r="P16">
        <v>89</v>
      </c>
      <c r="Q16">
        <v>13</v>
      </c>
      <c r="R16">
        <v>17</v>
      </c>
      <c r="S16">
        <v>0.79098037128350906</v>
      </c>
    </row>
    <row r="17" spans="1:19" ht="15.5">
      <c r="A17" s="31" t="s">
        <v>692</v>
      </c>
      <c r="B17" s="32" t="s">
        <v>693</v>
      </c>
      <c r="C17" s="32" t="s">
        <v>716</v>
      </c>
      <c r="D17" s="33" t="s">
        <v>717</v>
      </c>
      <c r="E17" s="32" t="s">
        <v>730</v>
      </c>
      <c r="F17" s="33" t="s">
        <v>731</v>
      </c>
      <c r="G17" s="11">
        <v>31588.297643917085</v>
      </c>
      <c r="H17">
        <v>0.5</v>
      </c>
      <c r="I17">
        <v>0.1</v>
      </c>
      <c r="J17">
        <v>0.9</v>
      </c>
      <c r="K17" s="1">
        <v>0.1</v>
      </c>
      <c r="L17" s="1"/>
      <c r="M17">
        <v>74</v>
      </c>
      <c r="N17" s="1">
        <v>97</v>
      </c>
      <c r="O17" s="17">
        <v>102</v>
      </c>
      <c r="P17">
        <v>88</v>
      </c>
      <c r="Q17">
        <v>14</v>
      </c>
      <c r="R17">
        <v>17</v>
      </c>
      <c r="S17">
        <v>0.52375871627266279</v>
      </c>
    </row>
    <row r="18" spans="1:19" ht="15.5">
      <c r="A18" s="31" t="s">
        <v>692</v>
      </c>
      <c r="B18" s="32" t="s">
        <v>693</v>
      </c>
      <c r="C18" s="32" t="s">
        <v>716</v>
      </c>
      <c r="D18" s="33" t="s">
        <v>717</v>
      </c>
      <c r="E18" s="32" t="s">
        <v>732</v>
      </c>
      <c r="F18" s="33" t="s">
        <v>733</v>
      </c>
      <c r="G18" s="11">
        <v>45069.507921637894</v>
      </c>
      <c r="H18">
        <v>0.5</v>
      </c>
      <c r="I18">
        <v>0.1</v>
      </c>
      <c r="J18">
        <v>0.9</v>
      </c>
      <c r="K18" s="1">
        <v>0.1</v>
      </c>
      <c r="L18" s="1"/>
      <c r="M18">
        <v>75</v>
      </c>
      <c r="N18" s="1">
        <v>98</v>
      </c>
      <c r="O18" s="17">
        <v>102</v>
      </c>
      <c r="P18">
        <v>89</v>
      </c>
      <c r="Q18">
        <v>13</v>
      </c>
      <c r="R18">
        <v>17</v>
      </c>
      <c r="S18">
        <v>0.74728774175088719</v>
      </c>
    </row>
    <row r="19" spans="1:19" ht="15.5">
      <c r="A19" s="31" t="s">
        <v>692</v>
      </c>
      <c r="B19" s="32" t="s">
        <v>693</v>
      </c>
      <c r="C19" s="32" t="s">
        <v>716</v>
      </c>
      <c r="D19" s="33" t="s">
        <v>717</v>
      </c>
      <c r="E19" s="32" t="s">
        <v>734</v>
      </c>
      <c r="F19" s="33" t="s">
        <v>735</v>
      </c>
      <c r="G19" s="11">
        <v>3842.0854414578998</v>
      </c>
      <c r="H19">
        <v>0.5</v>
      </c>
      <c r="I19">
        <v>0.1</v>
      </c>
      <c r="J19">
        <v>0.9</v>
      </c>
      <c r="K19" s="1">
        <v>0.1</v>
      </c>
      <c r="L19" s="1"/>
      <c r="M19">
        <v>73</v>
      </c>
      <c r="N19" s="1">
        <v>95</v>
      </c>
      <c r="O19" s="17">
        <v>96</v>
      </c>
      <c r="P19">
        <v>86</v>
      </c>
      <c r="Q19">
        <v>10</v>
      </c>
      <c r="R19">
        <v>16</v>
      </c>
      <c r="S19">
        <v>6.768633502805585E-2</v>
      </c>
    </row>
    <row r="20" spans="1:19" ht="15.5">
      <c r="A20" s="31" t="s">
        <v>692</v>
      </c>
      <c r="B20" s="32" t="s">
        <v>693</v>
      </c>
      <c r="C20" s="32" t="s">
        <v>716</v>
      </c>
      <c r="D20" s="33" t="s">
        <v>717</v>
      </c>
      <c r="E20" s="32" t="s">
        <v>736</v>
      </c>
      <c r="F20" s="33" t="s">
        <v>737</v>
      </c>
      <c r="G20" s="11">
        <v>10417.639925605799</v>
      </c>
      <c r="H20">
        <v>0.5</v>
      </c>
      <c r="I20">
        <v>0.1</v>
      </c>
      <c r="J20">
        <v>0.9</v>
      </c>
      <c r="K20" s="1">
        <v>0.1</v>
      </c>
      <c r="L20" s="1"/>
      <c r="M20">
        <v>74</v>
      </c>
      <c r="N20" s="1">
        <v>97</v>
      </c>
      <c r="O20" s="17">
        <v>102</v>
      </c>
      <c r="P20">
        <v>88</v>
      </c>
      <c r="Q20">
        <v>14</v>
      </c>
      <c r="R20">
        <v>17</v>
      </c>
      <c r="S20">
        <v>0.17273262951784454</v>
      </c>
    </row>
    <row r="21" spans="1:19" ht="15.5">
      <c r="A21" s="31" t="s">
        <v>692</v>
      </c>
      <c r="B21" s="32" t="s">
        <v>693</v>
      </c>
      <c r="C21" s="32" t="s">
        <v>738</v>
      </c>
      <c r="D21" s="33" t="s">
        <v>739</v>
      </c>
      <c r="E21" s="32" t="s">
        <v>740</v>
      </c>
      <c r="F21" s="33" t="s">
        <v>741</v>
      </c>
      <c r="G21" s="11">
        <v>11718.4963027791</v>
      </c>
      <c r="H21">
        <v>0.5</v>
      </c>
      <c r="I21">
        <v>0.1</v>
      </c>
      <c r="J21">
        <v>0.9</v>
      </c>
      <c r="K21" s="1">
        <v>0.1</v>
      </c>
      <c r="L21" s="1"/>
      <c r="M21">
        <v>74</v>
      </c>
      <c r="N21" s="1">
        <v>97</v>
      </c>
      <c r="O21" s="17">
        <v>102</v>
      </c>
      <c r="P21">
        <v>88</v>
      </c>
      <c r="Q21">
        <v>14</v>
      </c>
      <c r="R21">
        <v>17</v>
      </c>
      <c r="S21">
        <v>0.19430184713899731</v>
      </c>
    </row>
    <row r="22" spans="1:19" ht="15.5">
      <c r="A22" s="31" t="s">
        <v>692</v>
      </c>
      <c r="B22" s="32" t="s">
        <v>693</v>
      </c>
      <c r="C22" s="32" t="s">
        <v>738</v>
      </c>
      <c r="D22" s="33" t="s">
        <v>739</v>
      </c>
      <c r="E22" s="32" t="s">
        <v>742</v>
      </c>
      <c r="F22" s="33" t="s">
        <v>743</v>
      </c>
      <c r="G22" s="11">
        <v>16616.302998306601</v>
      </c>
      <c r="H22">
        <v>0.5</v>
      </c>
      <c r="I22">
        <v>0.1</v>
      </c>
      <c r="J22">
        <v>0.9</v>
      </c>
      <c r="K22" s="1">
        <v>0.1</v>
      </c>
      <c r="L22" s="1"/>
      <c r="M22">
        <v>74</v>
      </c>
      <c r="N22" s="1">
        <v>97</v>
      </c>
      <c r="O22" s="17">
        <v>102</v>
      </c>
      <c r="P22">
        <v>88</v>
      </c>
      <c r="Q22">
        <v>14</v>
      </c>
      <c r="R22">
        <v>17</v>
      </c>
      <c r="S22">
        <v>0.27551131832729753</v>
      </c>
    </row>
    <row r="23" spans="1:19" ht="15.5">
      <c r="A23" s="31" t="s">
        <v>692</v>
      </c>
      <c r="B23" s="32" t="s">
        <v>693</v>
      </c>
      <c r="C23" s="32" t="s">
        <v>738</v>
      </c>
      <c r="D23" s="33" t="s">
        <v>739</v>
      </c>
      <c r="E23" s="32" t="s">
        <v>744</v>
      </c>
      <c r="F23" s="33" t="s">
        <v>745</v>
      </c>
      <c r="G23" s="11">
        <v>19539.017637434499</v>
      </c>
      <c r="H23">
        <v>0.5</v>
      </c>
      <c r="I23">
        <v>0.1</v>
      </c>
      <c r="J23">
        <v>0.9</v>
      </c>
      <c r="K23" s="1">
        <v>0.1</v>
      </c>
      <c r="L23" s="1"/>
      <c r="M23">
        <v>74</v>
      </c>
      <c r="N23" s="1">
        <v>97</v>
      </c>
      <c r="O23" s="17">
        <v>102</v>
      </c>
      <c r="P23">
        <v>88</v>
      </c>
      <c r="Q23">
        <v>14</v>
      </c>
      <c r="R23">
        <v>17</v>
      </c>
      <c r="S23">
        <v>0.32397221624199507</v>
      </c>
    </row>
    <row r="24" spans="1:19" ht="15.5">
      <c r="A24" s="31" t="s">
        <v>692</v>
      </c>
      <c r="B24" s="32" t="s">
        <v>693</v>
      </c>
      <c r="C24" s="32" t="s">
        <v>738</v>
      </c>
      <c r="D24" s="33" t="s">
        <v>739</v>
      </c>
      <c r="E24" s="32" t="s">
        <v>746</v>
      </c>
      <c r="F24" s="33" t="s">
        <v>747</v>
      </c>
      <c r="G24" s="11">
        <v>23694.250292357199</v>
      </c>
      <c r="H24">
        <v>0.5</v>
      </c>
      <c r="I24">
        <v>0.1</v>
      </c>
      <c r="J24">
        <v>0.9</v>
      </c>
      <c r="K24" s="1">
        <v>0.1</v>
      </c>
      <c r="L24" s="1"/>
      <c r="M24">
        <v>74</v>
      </c>
      <c r="N24" s="1">
        <v>97</v>
      </c>
      <c r="O24" s="17">
        <v>102</v>
      </c>
      <c r="P24">
        <v>88</v>
      </c>
      <c r="Q24">
        <v>14</v>
      </c>
      <c r="R24">
        <v>17</v>
      </c>
      <c r="S24">
        <v>0.39286922822059583</v>
      </c>
    </row>
    <row r="25" spans="1:19" ht="15.5">
      <c r="A25" s="31" t="s">
        <v>692</v>
      </c>
      <c r="B25" s="32" t="s">
        <v>693</v>
      </c>
      <c r="C25" s="32" t="s">
        <v>738</v>
      </c>
      <c r="D25" s="33" t="s">
        <v>739</v>
      </c>
      <c r="E25" s="32" t="s">
        <v>748</v>
      </c>
      <c r="F25" s="33" t="s">
        <v>749</v>
      </c>
      <c r="G25" s="11">
        <v>31179.6324926419</v>
      </c>
      <c r="H25">
        <v>0.5</v>
      </c>
      <c r="I25">
        <v>0.1</v>
      </c>
      <c r="J25">
        <v>0.9</v>
      </c>
      <c r="K25" s="1">
        <v>0.1</v>
      </c>
      <c r="L25" s="1"/>
      <c r="M25">
        <v>74</v>
      </c>
      <c r="N25" s="1">
        <v>97</v>
      </c>
      <c r="O25" s="17">
        <v>102</v>
      </c>
      <c r="P25">
        <v>88</v>
      </c>
      <c r="Q25">
        <v>14</v>
      </c>
      <c r="R25">
        <v>17</v>
      </c>
      <c r="S25">
        <v>0.51698272798009703</v>
      </c>
    </row>
    <row r="26" spans="1:19" ht="15.5">
      <c r="A26" s="31" t="s">
        <v>692</v>
      </c>
      <c r="B26" s="32" t="s">
        <v>693</v>
      </c>
      <c r="C26" s="32" t="s">
        <v>738</v>
      </c>
      <c r="D26" s="33" t="s">
        <v>739</v>
      </c>
      <c r="E26" s="32" t="s">
        <v>750</v>
      </c>
      <c r="F26" s="33" t="s">
        <v>751</v>
      </c>
      <c r="G26" s="11">
        <v>46503.292972197691</v>
      </c>
      <c r="H26">
        <v>0.5</v>
      </c>
      <c r="I26">
        <v>0.1</v>
      </c>
      <c r="J26">
        <v>0.9</v>
      </c>
      <c r="K26" s="1">
        <v>0.1</v>
      </c>
      <c r="L26" s="1"/>
      <c r="M26">
        <v>75</v>
      </c>
      <c r="N26" s="1">
        <v>98</v>
      </c>
      <c r="O26" s="17">
        <v>102</v>
      </c>
      <c r="P26">
        <v>89</v>
      </c>
      <c r="Q26">
        <v>13</v>
      </c>
      <c r="R26">
        <v>17</v>
      </c>
      <c r="S26">
        <v>0.77106102089233985</v>
      </c>
    </row>
    <row r="27" spans="1:19" ht="15.5">
      <c r="A27" s="31" t="s">
        <v>692</v>
      </c>
      <c r="B27" s="32" t="s">
        <v>693</v>
      </c>
      <c r="C27" s="32" t="s">
        <v>738</v>
      </c>
      <c r="D27" s="33" t="s">
        <v>739</v>
      </c>
      <c r="E27" s="32" t="s">
        <v>752</v>
      </c>
      <c r="F27" s="33" t="s">
        <v>753</v>
      </c>
      <c r="G27" s="11">
        <v>140313.94663523679</v>
      </c>
      <c r="H27">
        <v>0.5</v>
      </c>
      <c r="I27">
        <v>0.1</v>
      </c>
      <c r="J27">
        <v>0.9</v>
      </c>
      <c r="K27" s="1">
        <v>0.1</v>
      </c>
      <c r="L27" s="1"/>
      <c r="M27">
        <v>75</v>
      </c>
      <c r="N27" s="1">
        <v>98</v>
      </c>
      <c r="O27" s="17">
        <v>102</v>
      </c>
      <c r="P27">
        <v>89</v>
      </c>
      <c r="Q27">
        <v>13</v>
      </c>
      <c r="R27">
        <v>17</v>
      </c>
      <c r="S27">
        <v>2.326515135233143</v>
      </c>
    </row>
    <row r="28" spans="1:19" ht="15.5">
      <c r="A28" s="31" t="s">
        <v>692</v>
      </c>
      <c r="B28" s="32" t="s">
        <v>693</v>
      </c>
      <c r="C28" s="32" t="s">
        <v>738</v>
      </c>
      <c r="D28" s="33" t="s">
        <v>739</v>
      </c>
      <c r="E28" s="32" t="s">
        <v>754</v>
      </c>
      <c r="F28" s="33" t="s">
        <v>755</v>
      </c>
      <c r="G28" s="11">
        <v>857.88919332590001</v>
      </c>
      <c r="H28">
        <v>0.5</v>
      </c>
      <c r="I28">
        <v>0.1</v>
      </c>
      <c r="J28">
        <v>0.9</v>
      </c>
      <c r="K28" s="1">
        <v>0.1</v>
      </c>
      <c r="L28" s="1"/>
      <c r="M28">
        <v>70</v>
      </c>
      <c r="N28" s="1">
        <v>91</v>
      </c>
      <c r="O28" s="17">
        <v>96</v>
      </c>
      <c r="P28">
        <v>82</v>
      </c>
      <c r="Q28">
        <v>14</v>
      </c>
      <c r="R28">
        <v>16</v>
      </c>
      <c r="S28">
        <v>1.5113504434292713E-2</v>
      </c>
    </row>
    <row r="29" spans="1:19" ht="15.5">
      <c r="A29" s="31" t="s">
        <v>692</v>
      </c>
      <c r="B29" s="32" t="s">
        <v>693</v>
      </c>
      <c r="C29" s="32" t="s">
        <v>738</v>
      </c>
      <c r="D29" s="33" t="s">
        <v>739</v>
      </c>
      <c r="E29" s="32" t="s">
        <v>756</v>
      </c>
      <c r="F29" s="33" t="s">
        <v>757</v>
      </c>
      <c r="G29" s="11">
        <v>28459.576298178497</v>
      </c>
      <c r="H29">
        <v>0.5</v>
      </c>
      <c r="I29">
        <v>0.1</v>
      </c>
      <c r="J29">
        <v>0.9</v>
      </c>
      <c r="K29" s="1">
        <v>0.1</v>
      </c>
      <c r="L29" s="1"/>
      <c r="M29">
        <v>74</v>
      </c>
      <c r="N29" s="1">
        <v>97</v>
      </c>
      <c r="O29" s="17">
        <v>102</v>
      </c>
      <c r="P29">
        <v>88</v>
      </c>
      <c r="Q29">
        <v>14</v>
      </c>
      <c r="R29">
        <v>17</v>
      </c>
      <c r="S29">
        <v>0.4718820658088958</v>
      </c>
    </row>
    <row r="30" spans="1:19" ht="15.5">
      <c r="A30" s="31" t="s">
        <v>692</v>
      </c>
      <c r="B30" s="32" t="s">
        <v>693</v>
      </c>
      <c r="C30" s="32" t="s">
        <v>738</v>
      </c>
      <c r="D30" s="33" t="s">
        <v>739</v>
      </c>
      <c r="E30" s="32" t="s">
        <v>758</v>
      </c>
      <c r="F30" s="33" t="s">
        <v>759</v>
      </c>
      <c r="G30" s="11">
        <v>10658.439138972901</v>
      </c>
      <c r="H30">
        <v>0.5</v>
      </c>
      <c r="I30">
        <v>0.1</v>
      </c>
      <c r="J30">
        <v>0.9</v>
      </c>
      <c r="K30" s="1">
        <v>0.1</v>
      </c>
      <c r="L30" s="1"/>
      <c r="M30">
        <v>74</v>
      </c>
      <c r="N30" s="1">
        <v>97</v>
      </c>
      <c r="O30" s="17">
        <v>102</v>
      </c>
      <c r="P30">
        <v>88</v>
      </c>
      <c r="Q30">
        <v>14</v>
      </c>
      <c r="R30">
        <v>17</v>
      </c>
      <c r="S30">
        <v>0.17672526907994854</v>
      </c>
    </row>
    <row r="31" spans="1:19" ht="15.5">
      <c r="A31" s="31" t="s">
        <v>692</v>
      </c>
      <c r="B31" s="32" t="s">
        <v>693</v>
      </c>
      <c r="C31" s="32" t="s">
        <v>738</v>
      </c>
      <c r="D31" s="33" t="s">
        <v>739</v>
      </c>
      <c r="E31" s="32" t="s">
        <v>760</v>
      </c>
      <c r="F31" s="33" t="s">
        <v>761</v>
      </c>
      <c r="G31" s="11">
        <v>64801.201027028685</v>
      </c>
      <c r="H31">
        <v>0.5</v>
      </c>
      <c r="I31">
        <v>0.1</v>
      </c>
      <c r="J31">
        <v>0.9</v>
      </c>
      <c r="K31" s="1">
        <v>0.1</v>
      </c>
      <c r="L31" s="1"/>
      <c r="M31">
        <v>75</v>
      </c>
      <c r="N31" s="1">
        <v>98</v>
      </c>
      <c r="O31" s="17">
        <v>102</v>
      </c>
      <c r="P31">
        <v>89</v>
      </c>
      <c r="Q31">
        <v>13</v>
      </c>
      <c r="R31">
        <v>17</v>
      </c>
      <c r="S31">
        <v>1.0744546681634526</v>
      </c>
    </row>
    <row r="32" spans="1:19" ht="15.5">
      <c r="A32" s="31" t="s">
        <v>692</v>
      </c>
      <c r="B32" s="32" t="s">
        <v>693</v>
      </c>
      <c r="C32" s="32" t="s">
        <v>762</v>
      </c>
      <c r="D32" s="33" t="s">
        <v>763</v>
      </c>
      <c r="E32" s="32" t="s">
        <v>764</v>
      </c>
      <c r="F32" s="33" t="s">
        <v>765</v>
      </c>
      <c r="G32" s="11">
        <v>28705.262408228704</v>
      </c>
      <c r="H32">
        <v>0.5</v>
      </c>
      <c r="I32">
        <v>0.1</v>
      </c>
      <c r="J32">
        <v>0.9</v>
      </c>
      <c r="K32" s="1">
        <v>0.1</v>
      </c>
      <c r="L32" s="1"/>
      <c r="M32">
        <v>74</v>
      </c>
      <c r="N32" s="1">
        <v>97</v>
      </c>
      <c r="O32" s="17">
        <v>102</v>
      </c>
      <c r="P32">
        <v>88</v>
      </c>
      <c r="Q32">
        <v>14</v>
      </c>
      <c r="R32">
        <v>17</v>
      </c>
      <c r="S32">
        <v>0.47595573394563689</v>
      </c>
    </row>
    <row r="33" spans="1:19" ht="15.5">
      <c r="A33" s="31" t="s">
        <v>692</v>
      </c>
      <c r="B33" s="32" t="s">
        <v>693</v>
      </c>
      <c r="C33" s="32" t="s">
        <v>762</v>
      </c>
      <c r="D33" s="33" t="s">
        <v>763</v>
      </c>
      <c r="E33" s="32" t="s">
        <v>766</v>
      </c>
      <c r="F33" s="33" t="s">
        <v>767</v>
      </c>
      <c r="G33" s="11">
        <v>177886.29894404326</v>
      </c>
      <c r="H33">
        <v>0.5</v>
      </c>
      <c r="I33">
        <v>0.1</v>
      </c>
      <c r="J33">
        <v>0.9</v>
      </c>
      <c r="K33" s="1">
        <v>0.1</v>
      </c>
      <c r="L33" s="1"/>
      <c r="M33">
        <v>75</v>
      </c>
      <c r="N33" s="1">
        <v>98</v>
      </c>
      <c r="O33" s="17">
        <v>102</v>
      </c>
      <c r="P33">
        <v>89</v>
      </c>
      <c r="Q33">
        <v>13</v>
      </c>
      <c r="R33">
        <v>17</v>
      </c>
      <c r="S33">
        <v>2.9494941648230526</v>
      </c>
    </row>
    <row r="34" spans="1:19" ht="15.5">
      <c r="A34" s="31" t="s">
        <v>692</v>
      </c>
      <c r="B34" s="32" t="s">
        <v>693</v>
      </c>
      <c r="C34" s="32" t="s">
        <v>762</v>
      </c>
      <c r="D34" s="33" t="s">
        <v>763</v>
      </c>
      <c r="E34" s="32" t="s">
        <v>768</v>
      </c>
      <c r="F34" s="33" t="s">
        <v>769</v>
      </c>
      <c r="G34" s="11">
        <v>99617.390474878921</v>
      </c>
      <c r="H34">
        <v>0.5</v>
      </c>
      <c r="I34">
        <v>0.1</v>
      </c>
      <c r="J34">
        <v>0.9</v>
      </c>
      <c r="K34" s="1">
        <v>0.1</v>
      </c>
      <c r="L34" s="1"/>
      <c r="M34">
        <v>75</v>
      </c>
      <c r="N34" s="1">
        <v>98</v>
      </c>
      <c r="O34" s="17">
        <v>102</v>
      </c>
      <c r="P34">
        <v>89</v>
      </c>
      <c r="Q34">
        <v>13</v>
      </c>
      <c r="R34">
        <v>17</v>
      </c>
      <c r="S34">
        <v>1.6517343587713891</v>
      </c>
    </row>
    <row r="35" spans="1:19" ht="15.5">
      <c r="A35" s="31" t="s">
        <v>692</v>
      </c>
      <c r="B35" s="32" t="s">
        <v>693</v>
      </c>
      <c r="C35" s="32" t="s">
        <v>762</v>
      </c>
      <c r="D35" s="33" t="s">
        <v>763</v>
      </c>
      <c r="E35" s="32" t="s">
        <v>770</v>
      </c>
      <c r="F35" s="33" t="s">
        <v>771</v>
      </c>
      <c r="G35" s="11">
        <v>78647.121038301484</v>
      </c>
      <c r="H35">
        <v>0.5</v>
      </c>
      <c r="I35">
        <v>0.1</v>
      </c>
      <c r="J35">
        <v>0.9</v>
      </c>
      <c r="K35" s="1">
        <v>0.1</v>
      </c>
      <c r="L35" s="1"/>
      <c r="M35">
        <v>75</v>
      </c>
      <c r="N35" s="1">
        <v>98</v>
      </c>
      <c r="O35" s="17">
        <v>102</v>
      </c>
      <c r="P35">
        <v>89</v>
      </c>
      <c r="Q35">
        <v>13</v>
      </c>
      <c r="R35">
        <v>17</v>
      </c>
      <c r="S35">
        <v>1.304030866680586</v>
      </c>
    </row>
    <row r="36" spans="1:19" ht="15.5">
      <c r="A36" s="31" t="s">
        <v>692</v>
      </c>
      <c r="B36" s="32" t="s">
        <v>693</v>
      </c>
      <c r="C36" s="32" t="s">
        <v>762</v>
      </c>
      <c r="D36" s="33" t="s">
        <v>763</v>
      </c>
      <c r="E36" s="32" t="s">
        <v>772</v>
      </c>
      <c r="F36" s="33" t="s">
        <v>773</v>
      </c>
      <c r="G36" s="11">
        <v>61946.515819907698</v>
      </c>
      <c r="H36">
        <v>0.5</v>
      </c>
      <c r="I36">
        <v>0.1</v>
      </c>
      <c r="J36">
        <v>0.9</v>
      </c>
      <c r="K36" s="1">
        <v>0.1</v>
      </c>
      <c r="L36" s="1"/>
      <c r="M36">
        <v>75</v>
      </c>
      <c r="N36" s="1">
        <v>98</v>
      </c>
      <c r="O36" s="17">
        <v>102</v>
      </c>
      <c r="P36">
        <v>89</v>
      </c>
      <c r="Q36">
        <v>13</v>
      </c>
      <c r="R36">
        <v>17</v>
      </c>
      <c r="S36">
        <v>1.0271217515150566</v>
      </c>
    </row>
    <row r="37" spans="1:19" ht="15.5">
      <c r="A37" s="31" t="s">
        <v>692</v>
      </c>
      <c r="B37" s="32" t="s">
        <v>693</v>
      </c>
      <c r="C37" s="32" t="s">
        <v>762</v>
      </c>
      <c r="D37" s="33" t="s">
        <v>763</v>
      </c>
      <c r="E37" s="32" t="s">
        <v>774</v>
      </c>
      <c r="F37" s="33" t="s">
        <v>775</v>
      </c>
      <c r="G37" s="11">
        <v>25639.119882680399</v>
      </c>
      <c r="H37">
        <v>0.5</v>
      </c>
      <c r="I37">
        <v>0.1</v>
      </c>
      <c r="J37">
        <v>0.9</v>
      </c>
      <c r="K37" s="1">
        <v>0.1</v>
      </c>
      <c r="L37" s="1"/>
      <c r="M37">
        <v>74</v>
      </c>
      <c r="N37" s="1">
        <v>97</v>
      </c>
      <c r="O37" s="17">
        <v>102</v>
      </c>
      <c r="P37">
        <v>88</v>
      </c>
      <c r="Q37">
        <v>14</v>
      </c>
      <c r="R37">
        <v>17</v>
      </c>
      <c r="S37">
        <v>0.42511668933509422</v>
      </c>
    </row>
    <row r="38" spans="1:19" ht="15.5">
      <c r="A38" s="31" t="s">
        <v>692</v>
      </c>
      <c r="B38" s="32" t="s">
        <v>693</v>
      </c>
      <c r="C38" s="32" t="s">
        <v>762</v>
      </c>
      <c r="D38" s="33" t="s">
        <v>763</v>
      </c>
      <c r="E38" s="32" t="s">
        <v>776</v>
      </c>
      <c r="F38" s="33" t="s">
        <v>777</v>
      </c>
      <c r="G38" s="11">
        <v>13528.103861719199</v>
      </c>
      <c r="H38">
        <v>0.5</v>
      </c>
      <c r="I38">
        <v>0.1</v>
      </c>
      <c r="J38">
        <v>0.9</v>
      </c>
      <c r="K38" s="1">
        <v>0.1</v>
      </c>
      <c r="L38" s="1"/>
      <c r="M38">
        <v>74</v>
      </c>
      <c r="N38" s="1">
        <v>97</v>
      </c>
      <c r="O38" s="17">
        <v>102</v>
      </c>
      <c r="P38">
        <v>88</v>
      </c>
      <c r="Q38">
        <v>14</v>
      </c>
      <c r="R38">
        <v>17</v>
      </c>
      <c r="S38">
        <v>0.22430655783002401</v>
      </c>
    </row>
    <row r="39" spans="1:19" ht="15.5">
      <c r="A39" s="31" t="s">
        <v>692</v>
      </c>
      <c r="B39" s="32" t="s">
        <v>693</v>
      </c>
      <c r="C39" s="32" t="s">
        <v>778</v>
      </c>
      <c r="D39" s="33" t="s">
        <v>779</v>
      </c>
      <c r="E39" s="32" t="s">
        <v>780</v>
      </c>
      <c r="F39" s="33" t="s">
        <v>781</v>
      </c>
      <c r="G39" s="11">
        <v>55215.827259939302</v>
      </c>
      <c r="H39">
        <v>0.5</v>
      </c>
      <c r="I39">
        <v>0.1</v>
      </c>
      <c r="J39">
        <v>0.9</v>
      </c>
      <c r="K39" s="1">
        <v>0.1</v>
      </c>
      <c r="L39" s="1"/>
      <c r="M39">
        <v>75</v>
      </c>
      <c r="N39" s="1">
        <v>98</v>
      </c>
      <c r="O39" s="17">
        <v>102</v>
      </c>
      <c r="P39">
        <v>89</v>
      </c>
      <c r="Q39">
        <v>13</v>
      </c>
      <c r="R39">
        <v>17</v>
      </c>
      <c r="S39">
        <v>0.91552166342107222</v>
      </c>
    </row>
    <row r="40" spans="1:19" ht="15.5">
      <c r="A40" s="31" t="s">
        <v>692</v>
      </c>
      <c r="B40" s="32" t="s">
        <v>693</v>
      </c>
      <c r="C40" s="32" t="s">
        <v>778</v>
      </c>
      <c r="D40" s="33" t="s">
        <v>779</v>
      </c>
      <c r="E40" s="32" t="s">
        <v>782</v>
      </c>
      <c r="F40" s="33" t="s">
        <v>783</v>
      </c>
      <c r="G40" s="11">
        <v>160927.62912552897</v>
      </c>
      <c r="H40">
        <v>0.5</v>
      </c>
      <c r="I40">
        <v>0.1</v>
      </c>
      <c r="J40">
        <v>0.9</v>
      </c>
      <c r="K40" s="1">
        <v>0.1</v>
      </c>
      <c r="L40" s="1"/>
      <c r="M40">
        <v>75</v>
      </c>
      <c r="N40" s="1">
        <v>98</v>
      </c>
      <c r="O40" s="17">
        <v>102</v>
      </c>
      <c r="P40">
        <v>89</v>
      </c>
      <c r="Q40">
        <v>13</v>
      </c>
      <c r="R40">
        <v>17</v>
      </c>
      <c r="S40">
        <v>2.6683061364600413</v>
      </c>
    </row>
    <row r="41" spans="1:19" ht="15.5">
      <c r="A41" s="31" t="s">
        <v>692</v>
      </c>
      <c r="B41" s="32" t="s">
        <v>693</v>
      </c>
      <c r="C41" s="32" t="s">
        <v>778</v>
      </c>
      <c r="D41" s="33" t="s">
        <v>779</v>
      </c>
      <c r="E41" s="32" t="s">
        <v>784</v>
      </c>
      <c r="F41" s="33" t="s">
        <v>785</v>
      </c>
      <c r="G41" s="11">
        <v>54859.110456080503</v>
      </c>
      <c r="H41">
        <v>0.5</v>
      </c>
      <c r="I41">
        <v>0.1</v>
      </c>
      <c r="J41">
        <v>0.9</v>
      </c>
      <c r="K41" s="1">
        <v>0.1</v>
      </c>
      <c r="L41" s="1"/>
      <c r="M41">
        <v>75</v>
      </c>
      <c r="N41" s="1">
        <v>98</v>
      </c>
      <c r="O41" s="17">
        <v>102</v>
      </c>
      <c r="P41">
        <v>89</v>
      </c>
      <c r="Q41">
        <v>13</v>
      </c>
      <c r="R41">
        <v>17</v>
      </c>
      <c r="S41">
        <v>0.90960701941688826</v>
      </c>
    </row>
    <row r="42" spans="1:19" ht="15.5">
      <c r="A42" s="31" t="s">
        <v>692</v>
      </c>
      <c r="B42" s="32" t="s">
        <v>693</v>
      </c>
      <c r="C42" s="32" t="s">
        <v>786</v>
      </c>
      <c r="D42" s="33" t="s">
        <v>787</v>
      </c>
      <c r="E42" s="32" t="s">
        <v>788</v>
      </c>
      <c r="F42" s="33" t="s">
        <v>789</v>
      </c>
      <c r="G42" s="11">
        <v>71356.372937905689</v>
      </c>
      <c r="H42">
        <v>0.5</v>
      </c>
      <c r="I42">
        <v>0.1</v>
      </c>
      <c r="J42">
        <v>0.9</v>
      </c>
      <c r="K42" s="1">
        <v>0.1</v>
      </c>
      <c r="L42" s="1"/>
      <c r="M42">
        <v>75</v>
      </c>
      <c r="N42" s="1">
        <v>98</v>
      </c>
      <c r="O42" s="17">
        <v>102</v>
      </c>
      <c r="P42">
        <v>89</v>
      </c>
      <c r="Q42">
        <v>13</v>
      </c>
      <c r="R42">
        <v>17</v>
      </c>
      <c r="S42">
        <v>1.1831445527431841</v>
      </c>
    </row>
    <row r="43" spans="1:19" ht="15.5">
      <c r="A43" s="31" t="s">
        <v>692</v>
      </c>
      <c r="B43" s="32" t="s">
        <v>693</v>
      </c>
      <c r="C43" s="32" t="s">
        <v>786</v>
      </c>
      <c r="D43" s="33" t="s">
        <v>787</v>
      </c>
      <c r="E43" s="32" t="s">
        <v>790</v>
      </c>
      <c r="F43" s="33" t="s">
        <v>791</v>
      </c>
      <c r="G43" s="11">
        <v>75665.469465169561</v>
      </c>
      <c r="H43">
        <v>0.5</v>
      </c>
      <c r="I43">
        <v>0.1</v>
      </c>
      <c r="J43">
        <v>0.9</v>
      </c>
      <c r="K43" s="1">
        <v>0.1</v>
      </c>
      <c r="L43" s="1"/>
      <c r="M43">
        <v>75</v>
      </c>
      <c r="N43" s="1">
        <v>98</v>
      </c>
      <c r="O43" s="17">
        <v>102</v>
      </c>
      <c r="P43">
        <v>89</v>
      </c>
      <c r="Q43">
        <v>13</v>
      </c>
      <c r="R43">
        <v>17</v>
      </c>
      <c r="S43">
        <v>1.254592748238117</v>
      </c>
    </row>
    <row r="44" spans="1:19" ht="15.5">
      <c r="A44" s="31" t="s">
        <v>692</v>
      </c>
      <c r="B44" s="32" t="s">
        <v>693</v>
      </c>
      <c r="C44" s="32" t="s">
        <v>786</v>
      </c>
      <c r="D44" s="33" t="s">
        <v>787</v>
      </c>
      <c r="E44" s="32" t="s">
        <v>792</v>
      </c>
      <c r="F44" s="33" t="s">
        <v>793</v>
      </c>
      <c r="G44" s="11">
        <v>49225.772938015478</v>
      </c>
      <c r="H44">
        <v>0.5</v>
      </c>
      <c r="I44">
        <v>0.1</v>
      </c>
      <c r="J44">
        <v>0.9</v>
      </c>
      <c r="K44" s="1">
        <v>0.1</v>
      </c>
      <c r="L44" s="1"/>
      <c r="M44">
        <v>75</v>
      </c>
      <c r="N44" s="1">
        <v>98</v>
      </c>
      <c r="O44" s="17">
        <v>102</v>
      </c>
      <c r="P44">
        <v>89</v>
      </c>
      <c r="Q44">
        <v>13</v>
      </c>
      <c r="R44">
        <v>17</v>
      </c>
      <c r="S44">
        <v>0.81620187109100062</v>
      </c>
    </row>
    <row r="45" spans="1:19" ht="15.5">
      <c r="A45" s="31" t="s">
        <v>692</v>
      </c>
      <c r="B45" s="32" t="s">
        <v>693</v>
      </c>
      <c r="C45" s="32" t="s">
        <v>786</v>
      </c>
      <c r="D45" s="33" t="s">
        <v>787</v>
      </c>
      <c r="E45" s="32" t="s">
        <v>794</v>
      </c>
      <c r="F45" s="33" t="s">
        <v>795</v>
      </c>
      <c r="G45" s="11">
        <v>10951.363037219999</v>
      </c>
      <c r="H45">
        <v>0.5</v>
      </c>
      <c r="I45">
        <v>0.1</v>
      </c>
      <c r="J45">
        <v>0.9</v>
      </c>
      <c r="K45" s="1">
        <v>0.1</v>
      </c>
      <c r="L45" s="1"/>
      <c r="M45">
        <v>74</v>
      </c>
      <c r="N45" s="1">
        <v>97</v>
      </c>
      <c r="O45" s="17">
        <v>102</v>
      </c>
      <c r="P45">
        <v>88</v>
      </c>
      <c r="Q45">
        <v>14</v>
      </c>
      <c r="R45">
        <v>17</v>
      </c>
      <c r="S45">
        <v>0.18158217674369623</v>
      </c>
    </row>
    <row r="46" spans="1:19" ht="15.5">
      <c r="A46" s="31" t="s">
        <v>692</v>
      </c>
      <c r="B46" s="32" t="s">
        <v>693</v>
      </c>
      <c r="C46" s="32" t="s">
        <v>786</v>
      </c>
      <c r="D46" s="33" t="s">
        <v>787</v>
      </c>
      <c r="E46" s="32" t="s">
        <v>796</v>
      </c>
      <c r="F46" s="33" t="s">
        <v>797</v>
      </c>
      <c r="G46" s="11">
        <v>27770.758570346898</v>
      </c>
      <c r="H46">
        <v>0.5</v>
      </c>
      <c r="I46">
        <v>0.1</v>
      </c>
      <c r="J46">
        <v>0.9</v>
      </c>
      <c r="K46" s="1">
        <v>0.1</v>
      </c>
      <c r="L46" s="1"/>
      <c r="M46">
        <v>74</v>
      </c>
      <c r="N46" s="1">
        <v>97</v>
      </c>
      <c r="O46" s="17">
        <v>102</v>
      </c>
      <c r="P46">
        <v>88</v>
      </c>
      <c r="Q46">
        <v>14</v>
      </c>
      <c r="R46">
        <v>17</v>
      </c>
      <c r="S46">
        <v>0.46046092836927166</v>
      </c>
    </row>
    <row r="47" spans="1:19" ht="15.5">
      <c r="A47" s="31" t="s">
        <v>692</v>
      </c>
      <c r="B47" s="32" t="s">
        <v>693</v>
      </c>
      <c r="C47" s="32" t="s">
        <v>786</v>
      </c>
      <c r="D47" s="33" t="s">
        <v>787</v>
      </c>
      <c r="E47" s="32" t="s">
        <v>798</v>
      </c>
      <c r="F47" s="33" t="s">
        <v>799</v>
      </c>
      <c r="G47" s="11">
        <v>429710.84278022964</v>
      </c>
      <c r="H47">
        <v>0.5</v>
      </c>
      <c r="I47">
        <v>0.1</v>
      </c>
      <c r="J47">
        <v>0.9</v>
      </c>
      <c r="K47" s="1">
        <v>0.1</v>
      </c>
      <c r="L47" s="1"/>
      <c r="M47">
        <v>75</v>
      </c>
      <c r="N47" s="1">
        <v>98</v>
      </c>
      <c r="O47" s="17">
        <v>102</v>
      </c>
      <c r="P47">
        <v>89</v>
      </c>
      <c r="Q47">
        <v>13</v>
      </c>
      <c r="R47">
        <v>17</v>
      </c>
      <c r="S47">
        <v>7.1249423416256024</v>
      </c>
    </row>
    <row r="48" spans="1:19" ht="15.5">
      <c r="A48" s="36" t="s">
        <v>692</v>
      </c>
      <c r="B48" s="37" t="s">
        <v>693</v>
      </c>
      <c r="C48" s="37" t="s">
        <v>786</v>
      </c>
      <c r="D48" s="38" t="s">
        <v>787</v>
      </c>
      <c r="E48" s="37" t="s">
        <v>800</v>
      </c>
      <c r="F48" s="38" t="s">
        <v>801</v>
      </c>
      <c r="G48" s="11">
        <v>24598.323080892696</v>
      </c>
      <c r="H48">
        <v>0.5</v>
      </c>
      <c r="I48">
        <v>0.1</v>
      </c>
      <c r="J48">
        <v>0.9</v>
      </c>
      <c r="K48" s="1">
        <v>0.1</v>
      </c>
      <c r="L48" s="1"/>
      <c r="M48">
        <v>74</v>
      </c>
      <c r="N48" s="1">
        <v>97</v>
      </c>
      <c r="O48" s="17">
        <v>102</v>
      </c>
      <c r="P48">
        <v>88</v>
      </c>
      <c r="Q48">
        <v>14</v>
      </c>
      <c r="R48">
        <v>17</v>
      </c>
      <c r="S48">
        <v>0.40785946316387028</v>
      </c>
    </row>
    <row r="49" spans="1:19" ht="15.5">
      <c r="A49" s="41" t="s">
        <v>802</v>
      </c>
      <c r="B49" s="42" t="s">
        <v>803</v>
      </c>
      <c r="C49" s="42" t="s">
        <v>804</v>
      </c>
      <c r="D49" s="42" t="s">
        <v>805</v>
      </c>
      <c r="E49" s="42" t="s">
        <v>804</v>
      </c>
      <c r="F49" s="43"/>
      <c r="G49" s="11">
        <v>56181.130402984309</v>
      </c>
      <c r="M49">
        <v>75</v>
      </c>
      <c r="N49" s="1">
        <v>98</v>
      </c>
      <c r="O49" s="17">
        <v>102</v>
      </c>
      <c r="P49">
        <v>98</v>
      </c>
      <c r="Q49">
        <v>4</v>
      </c>
      <c r="R49">
        <v>17</v>
      </c>
      <c r="S49">
        <v>0.93152714560040639</v>
      </c>
    </row>
    <row r="50" spans="1:19">
      <c r="C50"/>
      <c r="D50"/>
      <c r="E50"/>
      <c r="F50"/>
    </row>
    <row r="51" spans="1:19">
      <c r="C51"/>
      <c r="D51"/>
      <c r="E51"/>
      <c r="F51"/>
      <c r="G51" s="2"/>
    </row>
    <row r="52" spans="1:19">
      <c r="C52"/>
      <c r="D52"/>
      <c r="E52"/>
      <c r="F52"/>
    </row>
    <row r="53" spans="1:19">
      <c r="C53"/>
      <c r="D53"/>
      <c r="E53"/>
      <c r="F53"/>
    </row>
    <row r="54" spans="1:19">
      <c r="C54"/>
      <c r="D54"/>
      <c r="E54"/>
      <c r="F54"/>
    </row>
    <row r="55" spans="1:19">
      <c r="C55"/>
      <c r="D55"/>
      <c r="E55"/>
      <c r="F55"/>
    </row>
    <row r="56" spans="1:19">
      <c r="C56"/>
      <c r="D56"/>
      <c r="E56"/>
      <c r="F56"/>
    </row>
    <row r="57" spans="1:19">
      <c r="C57"/>
      <c r="D57"/>
      <c r="E57"/>
      <c r="F57"/>
    </row>
    <row r="58" spans="1:19">
      <c r="C58"/>
      <c r="D58"/>
      <c r="E58"/>
      <c r="F58"/>
    </row>
    <row r="59" spans="1:19">
      <c r="C59"/>
      <c r="D59"/>
      <c r="E59"/>
      <c r="F59"/>
    </row>
    <row r="60" spans="1:19">
      <c r="C60"/>
      <c r="D60"/>
      <c r="E60"/>
      <c r="F60"/>
    </row>
    <row r="61" spans="1:19">
      <c r="C61"/>
      <c r="D61"/>
      <c r="E61"/>
      <c r="F61"/>
    </row>
    <row r="62" spans="1:19">
      <c r="C62"/>
      <c r="D62"/>
      <c r="E62"/>
      <c r="F62"/>
    </row>
    <row r="63" spans="1:19">
      <c r="C63"/>
      <c r="D63"/>
      <c r="E63"/>
      <c r="F63"/>
    </row>
    <row r="64" spans="1:19">
      <c r="C64"/>
      <c r="D64"/>
      <c r="E64"/>
      <c r="F64"/>
    </row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  <row r="549" customFormat="1"/>
    <row r="550" customFormat="1"/>
    <row r="551" customFormat="1"/>
    <row r="552" customFormat="1"/>
    <row r="553" customFormat="1"/>
    <row r="554" customFormat="1"/>
    <row r="555" customFormat="1"/>
    <row r="556" customFormat="1"/>
    <row r="557" customFormat="1"/>
    <row r="558" customFormat="1"/>
    <row r="559" customFormat="1"/>
    <row r="560" customFormat="1"/>
    <row r="561" customFormat="1"/>
    <row r="562" customFormat="1"/>
    <row r="563" customFormat="1"/>
    <row r="564" customFormat="1"/>
    <row r="565" customFormat="1"/>
    <row r="566" customFormat="1"/>
    <row r="567" customFormat="1"/>
    <row r="568" customFormat="1"/>
    <row r="569" customFormat="1"/>
    <row r="570" customFormat="1"/>
    <row r="571" customFormat="1"/>
    <row r="572" customFormat="1"/>
    <row r="573" customFormat="1"/>
    <row r="574" customFormat="1"/>
    <row r="575" customFormat="1"/>
    <row r="576" customFormat="1"/>
    <row r="577" customFormat="1"/>
    <row r="578" customFormat="1"/>
    <row r="579" customFormat="1"/>
    <row r="580" customFormat="1"/>
    <row r="581" customFormat="1"/>
    <row r="582" customFormat="1"/>
    <row r="583" customFormat="1"/>
    <row r="584" customFormat="1"/>
    <row r="585" customFormat="1"/>
    <row r="586" customFormat="1"/>
    <row r="587" customFormat="1"/>
    <row r="588" customFormat="1"/>
    <row r="589" customFormat="1"/>
    <row r="590" customFormat="1"/>
    <row r="591" customFormat="1"/>
    <row r="592" customFormat="1"/>
    <row r="593" customFormat="1"/>
    <row r="594" customFormat="1"/>
    <row r="595" customFormat="1"/>
    <row r="596" customFormat="1"/>
    <row r="597" customFormat="1"/>
    <row r="598" customFormat="1"/>
    <row r="599" customFormat="1"/>
    <row r="600" customFormat="1"/>
    <row r="601" customFormat="1"/>
    <row r="602" customFormat="1"/>
    <row r="603" customFormat="1"/>
    <row r="604" customFormat="1"/>
    <row r="605" customFormat="1"/>
    <row r="606" customFormat="1"/>
    <row r="607" customFormat="1"/>
    <row r="608" customFormat="1"/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21" customFormat="1"/>
    <row r="622" customFormat="1"/>
    <row r="623" customFormat="1"/>
    <row r="624" customFormat="1"/>
    <row r="625" customFormat="1"/>
    <row r="626" customFormat="1"/>
    <row r="627" customFormat="1"/>
    <row r="628" customFormat="1"/>
    <row r="629" customFormat="1"/>
    <row r="630" customFormat="1"/>
    <row r="631" customFormat="1"/>
    <row r="632" customFormat="1"/>
    <row r="633" customFormat="1"/>
    <row r="634" customFormat="1"/>
    <row r="635" customFormat="1"/>
    <row r="636" customFormat="1"/>
    <row r="637" customFormat="1"/>
    <row r="638" customFormat="1"/>
    <row r="639" customFormat="1"/>
    <row r="640" customFormat="1"/>
    <row r="641" customFormat="1"/>
    <row r="642" customFormat="1"/>
    <row r="643" customFormat="1"/>
    <row r="644" customFormat="1"/>
    <row r="645" customFormat="1"/>
    <row r="646" customFormat="1"/>
    <row r="647" customFormat="1"/>
    <row r="648" customFormat="1"/>
    <row r="649" customFormat="1"/>
    <row r="650" customFormat="1"/>
    <row r="651" customFormat="1"/>
    <row r="652" customFormat="1"/>
    <row r="653" customFormat="1"/>
    <row r="654" customFormat="1"/>
    <row r="655" customFormat="1"/>
    <row r="656" customFormat="1"/>
    <row r="657" customFormat="1"/>
    <row r="658" customFormat="1"/>
    <row r="659" customFormat="1"/>
    <row r="660" customFormat="1"/>
    <row r="661" customFormat="1"/>
    <row r="662" customFormat="1"/>
    <row r="663" customFormat="1"/>
    <row r="664" customFormat="1"/>
    <row r="665" customFormat="1"/>
    <row r="666" customFormat="1"/>
    <row r="667" customFormat="1"/>
    <row r="668" customFormat="1"/>
    <row r="669" customFormat="1"/>
    <row r="670" customFormat="1"/>
    <row r="671" customFormat="1"/>
    <row r="672" customFormat="1"/>
    <row r="673" customFormat="1"/>
    <row r="674" customFormat="1"/>
    <row r="675" customFormat="1"/>
    <row r="676" customFormat="1"/>
    <row r="677" customFormat="1"/>
    <row r="678" customFormat="1"/>
    <row r="679" customFormat="1"/>
    <row r="680" customFormat="1"/>
    <row r="681" customFormat="1"/>
    <row r="682" customFormat="1"/>
    <row r="683" customFormat="1"/>
    <row r="684" customFormat="1"/>
    <row r="685" customFormat="1"/>
    <row r="686" customFormat="1"/>
    <row r="687" customFormat="1"/>
    <row r="688" customFormat="1"/>
    <row r="689" customFormat="1"/>
    <row r="690" customFormat="1"/>
    <row r="691" customFormat="1"/>
    <row r="692" customFormat="1"/>
    <row r="693" customFormat="1"/>
    <row r="694" customFormat="1"/>
    <row r="695" customFormat="1"/>
    <row r="696" customFormat="1"/>
    <row r="697" customFormat="1"/>
    <row r="698" customFormat="1"/>
    <row r="699" customFormat="1"/>
    <row r="700" customFormat="1"/>
    <row r="701" customFormat="1"/>
    <row r="702" customFormat="1"/>
    <row r="703" customFormat="1"/>
    <row r="704" customFormat="1"/>
    <row r="705" customFormat="1"/>
    <row r="706" customFormat="1"/>
    <row r="707" customFormat="1"/>
    <row r="708" customFormat="1"/>
    <row r="709" customFormat="1"/>
    <row r="710" customFormat="1"/>
    <row r="711" customFormat="1"/>
    <row r="712" customFormat="1"/>
    <row r="713" customFormat="1"/>
    <row r="714" customFormat="1"/>
    <row r="715" customFormat="1"/>
    <row r="716" customFormat="1"/>
    <row r="717" customFormat="1"/>
    <row r="718" customFormat="1"/>
    <row r="719" customFormat="1"/>
    <row r="720" customFormat="1"/>
    <row r="721" customFormat="1"/>
    <row r="722" customFormat="1"/>
    <row r="723" customFormat="1"/>
    <row r="724" customFormat="1"/>
    <row r="725" customFormat="1"/>
    <row r="726" customFormat="1"/>
    <row r="727" customFormat="1"/>
    <row r="728" customFormat="1"/>
    <row r="729" customFormat="1"/>
    <row r="730" customFormat="1"/>
    <row r="731" customFormat="1"/>
    <row r="732" customFormat="1"/>
    <row r="733" customFormat="1"/>
    <row r="734" customFormat="1"/>
    <row r="735" customFormat="1"/>
    <row r="736" customFormat="1"/>
    <row r="737" customFormat="1"/>
    <row r="738" customFormat="1"/>
    <row r="739" customFormat="1"/>
    <row r="740" customFormat="1"/>
    <row r="741" customFormat="1"/>
    <row r="742" customFormat="1"/>
    <row r="743" customFormat="1"/>
    <row r="744" customFormat="1"/>
    <row r="745" customFormat="1"/>
    <row r="746" customFormat="1"/>
    <row r="747" customFormat="1"/>
    <row r="748" customFormat="1"/>
    <row r="749" customFormat="1"/>
    <row r="750" customFormat="1"/>
    <row r="751" customFormat="1"/>
    <row r="752" customFormat="1"/>
    <row r="753" customFormat="1"/>
    <row r="754" customFormat="1"/>
    <row r="755" customFormat="1"/>
    <row r="756" customFormat="1"/>
    <row r="757" customFormat="1"/>
    <row r="758" customFormat="1"/>
    <row r="759" customFormat="1"/>
    <row r="760" customFormat="1"/>
    <row r="761" customFormat="1"/>
    <row r="762" customFormat="1"/>
    <row r="763" customFormat="1"/>
    <row r="764" customFormat="1"/>
    <row r="765" customFormat="1"/>
    <row r="766" customFormat="1"/>
    <row r="767" customFormat="1"/>
    <row r="768" customFormat="1"/>
    <row r="769" customFormat="1"/>
    <row r="770" customFormat="1"/>
    <row r="771" customFormat="1"/>
    <row r="772" customFormat="1"/>
    <row r="773" customFormat="1"/>
    <row r="774" customFormat="1"/>
    <row r="775" customFormat="1"/>
    <row r="776" customFormat="1"/>
    <row r="777" customFormat="1"/>
  </sheetData>
  <autoFilter ref="C1:S48" xr:uid="{28E3EC67-C13B-4331-A28E-49C922A2FD2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3EC67-C13B-4331-A28E-49C922A2FD2E}">
  <dimension ref="A1:X779"/>
  <sheetViews>
    <sheetView zoomScale="82" workbookViewId="0">
      <pane xSplit="6" topLeftCell="G1" activePane="topRight" state="frozen"/>
      <selection pane="topRight" sqref="A1:XFD1048576"/>
    </sheetView>
  </sheetViews>
  <sheetFormatPr defaultRowHeight="13"/>
  <cols>
    <col min="1" max="1" width="19.44140625" customWidth="1"/>
    <col min="2" max="2" width="26.6640625" customWidth="1"/>
    <col min="3" max="3" width="24.109375" style="2" customWidth="1"/>
    <col min="4" max="4" width="30.33203125" style="2" customWidth="1"/>
    <col min="5" max="5" width="27.6640625" style="2" customWidth="1"/>
    <col min="6" max="6" width="45.5546875" style="2" customWidth="1"/>
    <col min="7" max="7" width="40.77734375" customWidth="1"/>
    <col min="8" max="8" width="17.109375" hidden="1" customWidth="1"/>
    <col min="9" max="9" width="15.109375" hidden="1" customWidth="1"/>
    <col min="10" max="10" width="26.44140625" hidden="1" customWidth="1"/>
    <col min="11" max="12" width="24.109375" hidden="1" customWidth="1"/>
    <col min="13" max="13" width="29.33203125" customWidth="1"/>
    <col min="14" max="14" width="29.6640625" customWidth="1"/>
    <col min="15" max="15" width="40.109375" customWidth="1"/>
    <col min="16" max="16" width="21.6640625" customWidth="1"/>
    <col min="17" max="18" width="22.109375" customWidth="1"/>
    <col min="20" max="20" width="34.44140625" hidden="1" customWidth="1"/>
    <col min="21" max="21" width="22.77734375" hidden="1" customWidth="1"/>
    <col min="22" max="22" width="21.77734375" hidden="1" customWidth="1"/>
    <col min="23" max="23" width="17.6640625" hidden="1" customWidth="1"/>
    <col min="24" max="24" width="16.33203125" hidden="1" customWidth="1"/>
    <col min="25" max="25" width="11.33203125" bestFit="1" customWidth="1"/>
  </cols>
  <sheetData>
    <row r="1" spans="1:23" s="6" customFormat="1" ht="33.65" customHeight="1">
      <c r="A1" s="29" t="s">
        <v>681</v>
      </c>
      <c r="B1" s="29" t="s">
        <v>682</v>
      </c>
      <c r="C1" s="29" t="s">
        <v>681</v>
      </c>
      <c r="D1" s="29" t="s">
        <v>683</v>
      </c>
      <c r="E1" s="29" t="s">
        <v>681</v>
      </c>
      <c r="F1" s="29" t="s">
        <v>684</v>
      </c>
      <c r="G1" s="10" t="s">
        <v>806</v>
      </c>
      <c r="H1" s="4" t="s">
        <v>16</v>
      </c>
      <c r="I1" s="4" t="s">
        <v>17</v>
      </c>
      <c r="J1" s="5" t="s">
        <v>18</v>
      </c>
      <c r="K1" s="5" t="s">
        <v>19</v>
      </c>
      <c r="L1" s="5"/>
      <c r="M1" s="5" t="s">
        <v>76</v>
      </c>
      <c r="N1" s="3" t="s">
        <v>807</v>
      </c>
      <c r="O1" s="3" t="s">
        <v>22</v>
      </c>
      <c r="P1" s="3" t="s">
        <v>23</v>
      </c>
      <c r="Q1" s="3" t="s">
        <v>24</v>
      </c>
      <c r="R1" s="3" t="s">
        <v>25</v>
      </c>
    </row>
    <row r="2" spans="1:23" ht="15.5">
      <c r="A2" s="31" t="s">
        <v>692</v>
      </c>
      <c r="B2" s="32" t="s">
        <v>693</v>
      </c>
      <c r="C2" s="32" t="s">
        <v>694</v>
      </c>
      <c r="D2" s="33" t="s">
        <v>695</v>
      </c>
      <c r="E2" s="32" t="s">
        <v>696</v>
      </c>
      <c r="F2" s="33" t="s">
        <v>697</v>
      </c>
      <c r="G2" s="11">
        <v>439.83333329999999</v>
      </c>
      <c r="H2">
        <v>0.5</v>
      </c>
      <c r="I2">
        <v>0.1</v>
      </c>
      <c r="J2">
        <v>0.9</v>
      </c>
      <c r="K2" s="1">
        <v>0.1</v>
      </c>
      <c r="L2" s="1"/>
      <c r="M2">
        <v>65</v>
      </c>
      <c r="N2">
        <v>66</v>
      </c>
      <c r="O2">
        <v>59</v>
      </c>
      <c r="P2">
        <v>7</v>
      </c>
      <c r="Q2">
        <v>11</v>
      </c>
      <c r="R2">
        <v>0.16192337817909658</v>
      </c>
    </row>
    <row r="3" spans="1:23" ht="15.5">
      <c r="A3" s="31" t="s">
        <v>692</v>
      </c>
      <c r="B3" s="32" t="s">
        <v>693</v>
      </c>
      <c r="C3" s="32" t="s">
        <v>694</v>
      </c>
      <c r="D3" s="33" t="s">
        <v>695</v>
      </c>
      <c r="E3" s="32" t="s">
        <v>700</v>
      </c>
      <c r="F3" s="33" t="s">
        <v>701</v>
      </c>
      <c r="G3" s="11">
        <v>0</v>
      </c>
      <c r="H3">
        <v>0.5</v>
      </c>
      <c r="I3">
        <v>0.1</v>
      </c>
      <c r="J3">
        <v>0.9</v>
      </c>
      <c r="K3" s="1">
        <v>0.1</v>
      </c>
      <c r="L3" s="1"/>
      <c r="M3">
        <v>0</v>
      </c>
      <c r="N3">
        <v>0</v>
      </c>
      <c r="O3">
        <v>0</v>
      </c>
      <c r="P3">
        <v>0</v>
      </c>
      <c r="Q3">
        <v>0</v>
      </c>
      <c r="R3" t="e">
        <v>#DIV/0!</v>
      </c>
    </row>
    <row r="4" spans="1:23" ht="15.5">
      <c r="A4" s="31" t="s">
        <v>692</v>
      </c>
      <c r="B4" s="32" t="s">
        <v>693</v>
      </c>
      <c r="C4" s="32" t="s">
        <v>694</v>
      </c>
      <c r="D4" s="33" t="s">
        <v>695</v>
      </c>
      <c r="E4" s="32" t="s">
        <v>702</v>
      </c>
      <c r="F4" s="33" t="s">
        <v>703</v>
      </c>
      <c r="G4" s="11">
        <v>0</v>
      </c>
      <c r="H4">
        <v>0.5</v>
      </c>
      <c r="I4">
        <v>0.1</v>
      </c>
      <c r="J4">
        <v>0.9</v>
      </c>
      <c r="K4" s="1">
        <v>0.1</v>
      </c>
      <c r="L4" s="1"/>
      <c r="M4">
        <v>0</v>
      </c>
      <c r="N4">
        <v>0</v>
      </c>
      <c r="O4">
        <v>0</v>
      </c>
      <c r="P4">
        <v>0</v>
      </c>
      <c r="Q4">
        <v>0</v>
      </c>
      <c r="R4" t="e">
        <v>#DIV/0!</v>
      </c>
    </row>
    <row r="5" spans="1:23" ht="15.5">
      <c r="A5" s="31" t="s">
        <v>692</v>
      </c>
      <c r="B5" s="32" t="s">
        <v>693</v>
      </c>
      <c r="C5" s="32" t="s">
        <v>694</v>
      </c>
      <c r="D5" s="33" t="s">
        <v>695</v>
      </c>
      <c r="E5" s="32" t="s">
        <v>704</v>
      </c>
      <c r="F5" s="33" t="s">
        <v>705</v>
      </c>
      <c r="G5" s="11">
        <v>109</v>
      </c>
      <c r="H5">
        <v>0.5</v>
      </c>
      <c r="I5">
        <v>0.1</v>
      </c>
      <c r="J5">
        <v>0.9</v>
      </c>
      <c r="K5" s="1">
        <v>0.1</v>
      </c>
      <c r="L5" s="1"/>
      <c r="M5">
        <v>47</v>
      </c>
      <c r="N5">
        <v>48</v>
      </c>
      <c r="O5">
        <v>43</v>
      </c>
      <c r="P5">
        <v>5</v>
      </c>
      <c r="Q5">
        <v>8</v>
      </c>
      <c r="R5">
        <v>5.5176050715645249E-2</v>
      </c>
      <c r="U5" s="8" t="s">
        <v>30</v>
      </c>
      <c r="V5" s="8" t="s">
        <v>31</v>
      </c>
      <c r="W5" s="8" t="s">
        <v>2</v>
      </c>
    </row>
    <row r="6" spans="1:23" ht="15.5">
      <c r="A6" s="31" t="s">
        <v>692</v>
      </c>
      <c r="B6" s="32" t="s">
        <v>693</v>
      </c>
      <c r="C6" s="32" t="s">
        <v>694</v>
      </c>
      <c r="D6" s="33" t="s">
        <v>695</v>
      </c>
      <c r="E6" s="32" t="s">
        <v>706</v>
      </c>
      <c r="F6" s="33" t="s">
        <v>707</v>
      </c>
      <c r="G6" s="11">
        <v>290.33333329999999</v>
      </c>
      <c r="H6">
        <v>0.5</v>
      </c>
      <c r="I6">
        <v>0.1</v>
      </c>
      <c r="J6">
        <v>0.9</v>
      </c>
      <c r="K6" s="1">
        <v>0.1</v>
      </c>
      <c r="L6" s="1"/>
      <c r="M6">
        <v>61</v>
      </c>
      <c r="N6">
        <v>66</v>
      </c>
      <c r="O6">
        <v>55</v>
      </c>
      <c r="P6">
        <v>11</v>
      </c>
      <c r="Q6">
        <v>11</v>
      </c>
      <c r="R6">
        <v>0.10688538263621775</v>
      </c>
      <c r="U6" s="7">
        <v>6</v>
      </c>
      <c r="V6" s="7">
        <v>0.06</v>
      </c>
      <c r="W6" s="7">
        <v>0.1</v>
      </c>
    </row>
    <row r="7" spans="1:23" ht="15.5">
      <c r="A7" s="31" t="s">
        <v>692</v>
      </c>
      <c r="B7" s="32" t="s">
        <v>693</v>
      </c>
      <c r="C7" s="32" t="s">
        <v>694</v>
      </c>
      <c r="D7" s="33" t="s">
        <v>695</v>
      </c>
      <c r="E7" s="32" t="s">
        <v>708</v>
      </c>
      <c r="F7" s="33" t="s">
        <v>709</v>
      </c>
      <c r="G7" s="11">
        <v>363.5</v>
      </c>
      <c r="H7">
        <v>0.5</v>
      </c>
      <c r="I7">
        <v>0.1</v>
      </c>
      <c r="J7">
        <v>0.9</v>
      </c>
      <c r="K7" s="1">
        <v>0.1</v>
      </c>
      <c r="L7" s="1"/>
      <c r="M7">
        <v>63</v>
      </c>
      <c r="N7">
        <v>66</v>
      </c>
      <c r="O7">
        <v>57</v>
      </c>
      <c r="P7">
        <v>9</v>
      </c>
      <c r="Q7">
        <v>11</v>
      </c>
      <c r="R7">
        <v>0.13382148080158165</v>
      </c>
    </row>
    <row r="8" spans="1:23" ht="15.5">
      <c r="A8" s="31" t="s">
        <v>692</v>
      </c>
      <c r="B8" s="32" t="s">
        <v>693</v>
      </c>
      <c r="C8" s="32" t="s">
        <v>694</v>
      </c>
      <c r="D8" s="33" t="s">
        <v>695</v>
      </c>
      <c r="E8" s="32" t="s">
        <v>710</v>
      </c>
      <c r="F8" s="33" t="s">
        <v>711</v>
      </c>
      <c r="G8" s="11">
        <v>0</v>
      </c>
      <c r="H8">
        <v>0.5</v>
      </c>
      <c r="I8">
        <v>0.1</v>
      </c>
      <c r="J8">
        <v>0.9</v>
      </c>
      <c r="K8" s="1">
        <v>0.1</v>
      </c>
      <c r="L8" s="1"/>
      <c r="M8">
        <v>0</v>
      </c>
      <c r="N8">
        <v>0</v>
      </c>
      <c r="O8">
        <v>0</v>
      </c>
      <c r="P8">
        <v>0</v>
      </c>
      <c r="Q8">
        <v>0</v>
      </c>
      <c r="R8" t="e">
        <v>#DIV/0!</v>
      </c>
    </row>
    <row r="9" spans="1:23" ht="15.5">
      <c r="A9" s="31" t="s">
        <v>692</v>
      </c>
      <c r="B9" s="32" t="s">
        <v>693</v>
      </c>
      <c r="C9" s="32" t="s">
        <v>694</v>
      </c>
      <c r="D9" s="33" t="s">
        <v>695</v>
      </c>
      <c r="E9" s="32" t="s">
        <v>712</v>
      </c>
      <c r="F9" s="33" t="s">
        <v>713</v>
      </c>
      <c r="G9" s="11">
        <v>0</v>
      </c>
      <c r="H9">
        <v>0.5</v>
      </c>
      <c r="I9">
        <v>0.1</v>
      </c>
      <c r="J9">
        <v>0.9</v>
      </c>
      <c r="K9" s="1">
        <v>0.1</v>
      </c>
      <c r="L9" s="1"/>
      <c r="M9">
        <v>0</v>
      </c>
      <c r="N9">
        <v>0</v>
      </c>
      <c r="O9">
        <v>0</v>
      </c>
      <c r="P9">
        <v>0</v>
      </c>
      <c r="Q9">
        <v>0</v>
      </c>
      <c r="R9" t="e">
        <v>#DIV/0!</v>
      </c>
    </row>
    <row r="10" spans="1:23" ht="15.5">
      <c r="A10" s="31" t="s">
        <v>692</v>
      </c>
      <c r="B10" s="32" t="s">
        <v>693</v>
      </c>
      <c r="C10" s="32" t="s">
        <v>694</v>
      </c>
      <c r="D10" s="33" t="s">
        <v>695</v>
      </c>
      <c r="E10" s="32" t="s">
        <v>714</v>
      </c>
      <c r="F10" s="33" t="s">
        <v>715</v>
      </c>
      <c r="G10" s="11">
        <v>453</v>
      </c>
      <c r="H10">
        <v>0.5</v>
      </c>
      <c r="I10">
        <v>0.1</v>
      </c>
      <c r="J10">
        <v>0.9</v>
      </c>
      <c r="K10" s="1">
        <v>0.1</v>
      </c>
      <c r="L10" s="1"/>
      <c r="M10">
        <v>65</v>
      </c>
      <c r="N10">
        <v>66</v>
      </c>
      <c r="O10">
        <v>59</v>
      </c>
      <c r="P10">
        <v>7</v>
      </c>
      <c r="Q10">
        <v>11</v>
      </c>
      <c r="R10">
        <v>0.1667706487018335</v>
      </c>
    </row>
    <row r="11" spans="1:23" ht="15.5">
      <c r="A11" s="31" t="s">
        <v>692</v>
      </c>
      <c r="B11" s="32" t="s">
        <v>693</v>
      </c>
      <c r="C11" s="32" t="s">
        <v>716</v>
      </c>
      <c r="D11" s="33" t="s">
        <v>717</v>
      </c>
      <c r="E11" s="32" t="s">
        <v>718</v>
      </c>
      <c r="F11" s="33" t="s">
        <v>719</v>
      </c>
      <c r="G11" s="11">
        <v>5682.6666670000004</v>
      </c>
      <c r="H11">
        <v>0.5</v>
      </c>
      <c r="I11">
        <v>0.1</v>
      </c>
      <c r="J11">
        <v>0.9</v>
      </c>
      <c r="K11" s="1">
        <v>0.1</v>
      </c>
      <c r="L11" s="1"/>
      <c r="M11">
        <v>74</v>
      </c>
      <c r="N11">
        <v>78</v>
      </c>
      <c r="O11">
        <v>67</v>
      </c>
      <c r="P11">
        <v>11</v>
      </c>
      <c r="Q11">
        <v>13</v>
      </c>
      <c r="R11">
        <v>1.770202423251934</v>
      </c>
    </row>
    <row r="12" spans="1:23" ht="15.5">
      <c r="A12" s="31" t="s">
        <v>692</v>
      </c>
      <c r="B12" s="32" t="s">
        <v>693</v>
      </c>
      <c r="C12" s="32" t="s">
        <v>716</v>
      </c>
      <c r="D12" s="33" t="s">
        <v>717</v>
      </c>
      <c r="E12" s="32" t="s">
        <v>720</v>
      </c>
      <c r="F12" s="33" t="s">
        <v>721</v>
      </c>
      <c r="G12" s="11">
        <v>529.83333330000005</v>
      </c>
      <c r="H12">
        <v>0.5</v>
      </c>
      <c r="I12">
        <v>0.1</v>
      </c>
      <c r="J12">
        <v>0.9</v>
      </c>
      <c r="K12" s="1">
        <v>0.1</v>
      </c>
      <c r="L12" s="1"/>
      <c r="M12">
        <v>66</v>
      </c>
      <c r="N12">
        <v>66</v>
      </c>
      <c r="O12">
        <v>60</v>
      </c>
      <c r="P12">
        <v>6</v>
      </c>
      <c r="Q12">
        <v>11</v>
      </c>
      <c r="R12">
        <v>0.19505661964303703</v>
      </c>
    </row>
    <row r="13" spans="1:23" ht="13.75" customHeight="1">
      <c r="A13" s="31" t="s">
        <v>692</v>
      </c>
      <c r="B13" s="32" t="s">
        <v>693</v>
      </c>
      <c r="C13" s="32" t="s">
        <v>716</v>
      </c>
      <c r="D13" s="33" t="s">
        <v>717</v>
      </c>
      <c r="E13" s="32" t="s">
        <v>722</v>
      </c>
      <c r="F13" s="33" t="s">
        <v>723</v>
      </c>
      <c r="G13" s="11">
        <v>2438.833333</v>
      </c>
      <c r="H13">
        <v>0.5</v>
      </c>
      <c r="I13">
        <v>0.1</v>
      </c>
      <c r="J13">
        <v>0.9</v>
      </c>
      <c r="K13" s="1">
        <v>0.1</v>
      </c>
      <c r="L13" s="1"/>
      <c r="M13">
        <v>73</v>
      </c>
      <c r="N13">
        <v>78</v>
      </c>
      <c r="O13">
        <v>66</v>
      </c>
      <c r="P13">
        <v>12</v>
      </c>
      <c r="Q13">
        <v>13</v>
      </c>
      <c r="R13">
        <v>0.75971879558850619</v>
      </c>
    </row>
    <row r="14" spans="1:23" ht="13.75" customHeight="1">
      <c r="A14" s="31" t="s">
        <v>692</v>
      </c>
      <c r="B14" s="32" t="s">
        <v>693</v>
      </c>
      <c r="C14" s="32" t="s">
        <v>716</v>
      </c>
      <c r="D14" s="33" t="s">
        <v>717</v>
      </c>
      <c r="E14" s="32" t="s">
        <v>724</v>
      </c>
      <c r="F14" s="33" t="s">
        <v>725</v>
      </c>
      <c r="G14" s="11">
        <v>1094.666667</v>
      </c>
      <c r="H14">
        <v>0.5</v>
      </c>
      <c r="I14">
        <v>0.1</v>
      </c>
      <c r="J14">
        <v>0.9</v>
      </c>
      <c r="K14" s="1">
        <v>0.1</v>
      </c>
      <c r="L14" s="1"/>
      <c r="M14">
        <v>71</v>
      </c>
      <c r="N14">
        <v>72</v>
      </c>
      <c r="O14">
        <v>64</v>
      </c>
      <c r="P14">
        <v>8</v>
      </c>
      <c r="Q14">
        <v>12</v>
      </c>
      <c r="R14">
        <v>0.36941518981723753</v>
      </c>
    </row>
    <row r="15" spans="1:23" ht="13.75" customHeight="1">
      <c r="A15" s="31" t="s">
        <v>692</v>
      </c>
      <c r="B15" s="32" t="s">
        <v>693</v>
      </c>
      <c r="C15" s="32" t="s">
        <v>716</v>
      </c>
      <c r="D15" s="33" t="s">
        <v>717</v>
      </c>
      <c r="E15" s="32" t="s">
        <v>726</v>
      </c>
      <c r="F15" s="33" t="s">
        <v>727</v>
      </c>
      <c r="G15" s="11">
        <v>6420.1666670000004</v>
      </c>
      <c r="H15">
        <v>0.5</v>
      </c>
      <c r="I15">
        <v>0.1</v>
      </c>
      <c r="J15">
        <v>0.9</v>
      </c>
      <c r="K15" s="1">
        <v>0.1</v>
      </c>
      <c r="L15" s="1"/>
      <c r="M15">
        <v>74</v>
      </c>
      <c r="N15">
        <v>78</v>
      </c>
      <c r="O15">
        <v>67</v>
      </c>
      <c r="P15">
        <v>11</v>
      </c>
      <c r="Q15">
        <v>13</v>
      </c>
      <c r="R15">
        <v>1.9999403902401534</v>
      </c>
    </row>
    <row r="16" spans="1:23" ht="15.5">
      <c r="A16" s="31" t="s">
        <v>692</v>
      </c>
      <c r="B16" s="32" t="s">
        <v>693</v>
      </c>
      <c r="C16" s="32" t="s">
        <v>716</v>
      </c>
      <c r="D16" s="33" t="s">
        <v>717</v>
      </c>
      <c r="E16" s="32" t="s">
        <v>728</v>
      </c>
      <c r="F16" s="33" t="s">
        <v>729</v>
      </c>
      <c r="G16" s="11">
        <v>885.83333330000005</v>
      </c>
      <c r="H16">
        <v>0.5</v>
      </c>
      <c r="I16">
        <v>0.1</v>
      </c>
      <c r="J16">
        <v>0.9</v>
      </c>
      <c r="K16" s="1">
        <v>0.1</v>
      </c>
      <c r="L16" s="1"/>
      <c r="M16">
        <v>70</v>
      </c>
      <c r="N16">
        <v>72</v>
      </c>
      <c r="O16">
        <v>63</v>
      </c>
      <c r="P16">
        <v>9</v>
      </c>
      <c r="Q16">
        <v>12</v>
      </c>
      <c r="R16">
        <v>0.29894058057351608</v>
      </c>
    </row>
    <row r="17" spans="1:18" ht="15.5">
      <c r="A17" s="31" t="s">
        <v>692</v>
      </c>
      <c r="B17" s="32" t="s">
        <v>693</v>
      </c>
      <c r="C17" s="32" t="s">
        <v>716</v>
      </c>
      <c r="D17" s="33" t="s">
        <v>717</v>
      </c>
      <c r="E17" s="32" t="s">
        <v>730</v>
      </c>
      <c r="F17" s="33" t="s">
        <v>731</v>
      </c>
      <c r="G17" s="11">
        <v>1955</v>
      </c>
      <c r="H17">
        <v>0.5</v>
      </c>
      <c r="I17">
        <v>0.1</v>
      </c>
      <c r="J17">
        <v>0.9</v>
      </c>
      <c r="K17" s="1">
        <v>0.1</v>
      </c>
      <c r="L17" s="1"/>
      <c r="M17">
        <v>72</v>
      </c>
      <c r="N17">
        <v>72</v>
      </c>
      <c r="O17">
        <v>65</v>
      </c>
      <c r="P17">
        <v>7</v>
      </c>
      <c r="Q17">
        <v>12</v>
      </c>
      <c r="R17">
        <v>0.65975033118707316</v>
      </c>
    </row>
    <row r="18" spans="1:18" ht="15.5">
      <c r="A18" s="31" t="s">
        <v>692</v>
      </c>
      <c r="B18" s="32" t="s">
        <v>693</v>
      </c>
      <c r="C18" s="32" t="s">
        <v>716</v>
      </c>
      <c r="D18" s="33" t="s">
        <v>717</v>
      </c>
      <c r="E18" s="32" t="s">
        <v>732</v>
      </c>
      <c r="F18" s="33" t="s">
        <v>733</v>
      </c>
      <c r="G18" s="11">
        <v>10014.333329999999</v>
      </c>
      <c r="H18">
        <v>0.5</v>
      </c>
      <c r="I18">
        <v>0.1</v>
      </c>
      <c r="J18">
        <v>0.9</v>
      </c>
      <c r="K18" s="1">
        <v>0.1</v>
      </c>
      <c r="L18" s="1"/>
      <c r="M18">
        <v>74</v>
      </c>
      <c r="N18">
        <v>78</v>
      </c>
      <c r="O18">
        <v>67</v>
      </c>
      <c r="P18">
        <v>11</v>
      </c>
      <c r="Q18">
        <v>13</v>
      </c>
      <c r="R18">
        <v>3.1195560406461906</v>
      </c>
    </row>
    <row r="19" spans="1:18" ht="15.5">
      <c r="A19" s="31" t="s">
        <v>692</v>
      </c>
      <c r="B19" s="32" t="s">
        <v>693</v>
      </c>
      <c r="C19" s="32" t="s">
        <v>716</v>
      </c>
      <c r="D19" s="33" t="s">
        <v>717</v>
      </c>
      <c r="E19" s="32" t="s">
        <v>734</v>
      </c>
      <c r="F19" s="33" t="s">
        <v>735</v>
      </c>
      <c r="G19" s="11">
        <v>1256.5</v>
      </c>
      <c r="H19">
        <v>0.5</v>
      </c>
      <c r="I19">
        <v>0.1</v>
      </c>
      <c r="J19">
        <v>0.9</v>
      </c>
      <c r="K19" s="1">
        <v>0.1</v>
      </c>
      <c r="L19" s="1"/>
      <c r="M19">
        <v>71</v>
      </c>
      <c r="N19">
        <v>72</v>
      </c>
      <c r="O19">
        <v>64</v>
      </c>
      <c r="P19">
        <v>8</v>
      </c>
      <c r="Q19">
        <v>12</v>
      </c>
      <c r="R19">
        <v>0.42402879342023392</v>
      </c>
    </row>
    <row r="20" spans="1:18" ht="15.5">
      <c r="A20" s="31" t="s">
        <v>692</v>
      </c>
      <c r="B20" s="32" t="s">
        <v>693</v>
      </c>
      <c r="C20" s="32" t="s">
        <v>716</v>
      </c>
      <c r="D20" s="33" t="s">
        <v>717</v>
      </c>
      <c r="E20" s="32" t="s">
        <v>736</v>
      </c>
      <c r="F20" s="33" t="s">
        <v>737</v>
      </c>
      <c r="G20" s="11">
        <v>0</v>
      </c>
      <c r="H20">
        <v>0.5</v>
      </c>
      <c r="I20">
        <v>0.1</v>
      </c>
      <c r="J20">
        <v>0.9</v>
      </c>
      <c r="K20" s="1">
        <v>0.1</v>
      </c>
      <c r="L20" s="1"/>
      <c r="M20">
        <v>0</v>
      </c>
      <c r="N20">
        <v>0</v>
      </c>
      <c r="O20">
        <v>0</v>
      </c>
      <c r="P20">
        <v>0</v>
      </c>
      <c r="Q20">
        <v>0</v>
      </c>
      <c r="R20" t="e">
        <v>#DIV/0!</v>
      </c>
    </row>
    <row r="21" spans="1:18" ht="15.5">
      <c r="A21" s="31" t="s">
        <v>692</v>
      </c>
      <c r="B21" s="32" t="s">
        <v>693</v>
      </c>
      <c r="C21" s="32" t="s">
        <v>738</v>
      </c>
      <c r="D21" s="33" t="s">
        <v>739</v>
      </c>
      <c r="E21" s="32" t="s">
        <v>740</v>
      </c>
      <c r="F21" s="33" t="s">
        <v>741</v>
      </c>
      <c r="G21" s="11">
        <v>0</v>
      </c>
      <c r="H21">
        <v>0.5</v>
      </c>
      <c r="I21">
        <v>0.1</v>
      </c>
      <c r="J21">
        <v>0.9</v>
      </c>
      <c r="K21" s="1">
        <v>0.1</v>
      </c>
      <c r="L21" s="1"/>
      <c r="M21">
        <v>0</v>
      </c>
      <c r="N21">
        <v>0</v>
      </c>
      <c r="O21">
        <v>0</v>
      </c>
      <c r="P21">
        <v>0</v>
      </c>
      <c r="Q21">
        <v>0</v>
      </c>
      <c r="R21" t="e">
        <v>#DIV/0!</v>
      </c>
    </row>
    <row r="22" spans="1:18" ht="15.5">
      <c r="A22" s="31" t="s">
        <v>692</v>
      </c>
      <c r="B22" s="32" t="s">
        <v>693</v>
      </c>
      <c r="C22" s="32" t="s">
        <v>738</v>
      </c>
      <c r="D22" s="33" t="s">
        <v>739</v>
      </c>
      <c r="E22" s="32" t="s">
        <v>742</v>
      </c>
      <c r="F22" s="33" t="s">
        <v>743</v>
      </c>
      <c r="G22" s="11">
        <v>331.5</v>
      </c>
      <c r="H22">
        <v>0.5</v>
      </c>
      <c r="I22">
        <v>0.1</v>
      </c>
      <c r="J22">
        <v>0.9</v>
      </c>
      <c r="K22" s="1">
        <v>0.1</v>
      </c>
      <c r="L22" s="1"/>
      <c r="M22">
        <v>62</v>
      </c>
      <c r="N22">
        <v>66</v>
      </c>
      <c r="O22">
        <v>56</v>
      </c>
      <c r="P22">
        <v>10</v>
      </c>
      <c r="Q22">
        <v>11</v>
      </c>
      <c r="R22">
        <v>0.12204077272551392</v>
      </c>
    </row>
    <row r="23" spans="1:18" ht="15.5">
      <c r="A23" s="31" t="s">
        <v>692</v>
      </c>
      <c r="B23" s="32" t="s">
        <v>693</v>
      </c>
      <c r="C23" s="32" t="s">
        <v>738</v>
      </c>
      <c r="D23" s="33" t="s">
        <v>739</v>
      </c>
      <c r="E23" s="32" t="s">
        <v>744</v>
      </c>
      <c r="F23" s="33" t="s">
        <v>745</v>
      </c>
      <c r="G23" s="11">
        <v>0</v>
      </c>
      <c r="H23">
        <v>0.5</v>
      </c>
      <c r="I23">
        <v>0.1</v>
      </c>
      <c r="J23">
        <v>0.9</v>
      </c>
      <c r="K23" s="1">
        <v>0.1</v>
      </c>
      <c r="L23" s="1"/>
      <c r="M23">
        <v>0</v>
      </c>
      <c r="N23">
        <v>0</v>
      </c>
      <c r="O23">
        <v>0</v>
      </c>
      <c r="P23">
        <v>0</v>
      </c>
      <c r="Q23">
        <v>0</v>
      </c>
      <c r="R23" t="e">
        <v>#DIV/0!</v>
      </c>
    </row>
    <row r="24" spans="1:18" ht="15.5">
      <c r="A24" s="31" t="s">
        <v>692</v>
      </c>
      <c r="B24" s="32" t="s">
        <v>693</v>
      </c>
      <c r="C24" s="32" t="s">
        <v>738</v>
      </c>
      <c r="D24" s="33" t="s">
        <v>739</v>
      </c>
      <c r="E24" s="32" t="s">
        <v>746</v>
      </c>
      <c r="F24" s="33" t="s">
        <v>747</v>
      </c>
      <c r="G24" s="11">
        <v>2346.166667</v>
      </c>
      <c r="H24">
        <v>0.5</v>
      </c>
      <c r="I24">
        <v>0.1</v>
      </c>
      <c r="J24">
        <v>0.9</v>
      </c>
      <c r="K24" s="1">
        <v>0.1</v>
      </c>
      <c r="L24" s="1"/>
      <c r="M24">
        <v>73</v>
      </c>
      <c r="N24">
        <v>78</v>
      </c>
      <c r="O24">
        <v>66</v>
      </c>
      <c r="P24">
        <v>12</v>
      </c>
      <c r="Q24">
        <v>13</v>
      </c>
      <c r="R24">
        <v>0.73085228514183986</v>
      </c>
    </row>
    <row r="25" spans="1:18" ht="15.5">
      <c r="A25" s="31" t="s">
        <v>692</v>
      </c>
      <c r="B25" s="32" t="s">
        <v>693</v>
      </c>
      <c r="C25" s="32" t="s">
        <v>738</v>
      </c>
      <c r="D25" s="33" t="s">
        <v>739</v>
      </c>
      <c r="E25" s="32" t="s">
        <v>748</v>
      </c>
      <c r="F25" s="33" t="s">
        <v>749</v>
      </c>
      <c r="G25" s="11">
        <v>0</v>
      </c>
      <c r="H25">
        <v>0.5</v>
      </c>
      <c r="I25">
        <v>0.1</v>
      </c>
      <c r="J25">
        <v>0.9</v>
      </c>
      <c r="K25" s="1">
        <v>0.1</v>
      </c>
      <c r="L25" s="1"/>
      <c r="M25">
        <v>0</v>
      </c>
      <c r="N25">
        <v>0</v>
      </c>
      <c r="O25">
        <v>0</v>
      </c>
      <c r="P25">
        <v>0</v>
      </c>
      <c r="Q25">
        <v>0</v>
      </c>
      <c r="R25" t="e">
        <v>#DIV/0!</v>
      </c>
    </row>
    <row r="26" spans="1:18" ht="15.5">
      <c r="A26" s="31" t="s">
        <v>692</v>
      </c>
      <c r="B26" s="32" t="s">
        <v>693</v>
      </c>
      <c r="C26" s="32" t="s">
        <v>738</v>
      </c>
      <c r="D26" s="33" t="s">
        <v>739</v>
      </c>
      <c r="E26" s="32" t="s">
        <v>750</v>
      </c>
      <c r="F26" s="33" t="s">
        <v>751</v>
      </c>
      <c r="G26" s="11">
        <v>0</v>
      </c>
      <c r="H26">
        <v>0.5</v>
      </c>
      <c r="I26">
        <v>0.1</v>
      </c>
      <c r="J26">
        <v>0.9</v>
      </c>
      <c r="K26" s="1">
        <v>0.1</v>
      </c>
      <c r="L26" s="1"/>
      <c r="M26">
        <v>0</v>
      </c>
      <c r="N26">
        <v>0</v>
      </c>
      <c r="O26">
        <v>0</v>
      </c>
      <c r="P26">
        <v>0</v>
      </c>
      <c r="Q26">
        <v>0</v>
      </c>
      <c r="R26" t="e">
        <v>#DIV/0!</v>
      </c>
    </row>
    <row r="27" spans="1:18" ht="15.5">
      <c r="A27" s="31" t="s">
        <v>692</v>
      </c>
      <c r="B27" s="32" t="s">
        <v>693</v>
      </c>
      <c r="C27" s="32" t="s">
        <v>738</v>
      </c>
      <c r="D27" s="33" t="s">
        <v>739</v>
      </c>
      <c r="E27" s="32" t="s">
        <v>752</v>
      </c>
      <c r="F27" s="33" t="s">
        <v>753</v>
      </c>
      <c r="G27" s="11">
        <v>1001.166667</v>
      </c>
      <c r="H27">
        <v>0.5</v>
      </c>
      <c r="I27">
        <v>0.1</v>
      </c>
      <c r="J27">
        <v>0.9</v>
      </c>
      <c r="K27" s="1">
        <v>0.1</v>
      </c>
      <c r="L27" s="1"/>
      <c r="M27">
        <v>70</v>
      </c>
      <c r="N27">
        <v>72</v>
      </c>
      <c r="O27">
        <v>63</v>
      </c>
      <c r="P27">
        <v>9</v>
      </c>
      <c r="Q27">
        <v>12</v>
      </c>
      <c r="R27">
        <v>0.33786191310829061</v>
      </c>
    </row>
    <row r="28" spans="1:18" ht="15.5">
      <c r="A28" s="31" t="s">
        <v>692</v>
      </c>
      <c r="B28" s="32" t="s">
        <v>693</v>
      </c>
      <c r="C28" s="32" t="s">
        <v>738</v>
      </c>
      <c r="D28" s="33" t="s">
        <v>739</v>
      </c>
      <c r="E28" s="32" t="s">
        <v>754</v>
      </c>
      <c r="F28" s="33" t="s">
        <v>755</v>
      </c>
      <c r="G28" s="11">
        <v>0</v>
      </c>
      <c r="H28">
        <v>0.5</v>
      </c>
      <c r="I28">
        <v>0.1</v>
      </c>
      <c r="J28">
        <v>0.9</v>
      </c>
      <c r="K28" s="1">
        <v>0.1</v>
      </c>
      <c r="L28" s="1"/>
      <c r="M28">
        <v>0</v>
      </c>
      <c r="N28">
        <v>0</v>
      </c>
      <c r="O28">
        <v>0</v>
      </c>
      <c r="P28">
        <v>0</v>
      </c>
      <c r="Q28">
        <v>0</v>
      </c>
      <c r="R28" t="e">
        <v>#DIV/0!</v>
      </c>
    </row>
    <row r="29" spans="1:18" ht="15.5">
      <c r="A29" s="31" t="s">
        <v>692</v>
      </c>
      <c r="B29" s="32" t="s">
        <v>693</v>
      </c>
      <c r="C29" s="32" t="s">
        <v>738</v>
      </c>
      <c r="D29" s="33" t="s">
        <v>739</v>
      </c>
      <c r="E29" s="32" t="s">
        <v>756</v>
      </c>
      <c r="F29" s="33" t="s">
        <v>757</v>
      </c>
      <c r="G29" s="11">
        <v>490.5</v>
      </c>
      <c r="H29">
        <v>0.5</v>
      </c>
      <c r="I29">
        <v>0.1</v>
      </c>
      <c r="J29">
        <v>0.9</v>
      </c>
      <c r="K29" s="1">
        <v>0.1</v>
      </c>
      <c r="L29" s="1"/>
      <c r="M29">
        <v>66</v>
      </c>
      <c r="N29">
        <v>66</v>
      </c>
      <c r="O29">
        <v>60</v>
      </c>
      <c r="P29">
        <v>6</v>
      </c>
      <c r="Q29">
        <v>11</v>
      </c>
      <c r="R29">
        <v>0.18057616597847534</v>
      </c>
    </row>
    <row r="30" spans="1:18" ht="15.5">
      <c r="A30" s="31" t="s">
        <v>692</v>
      </c>
      <c r="B30" s="32" t="s">
        <v>693</v>
      </c>
      <c r="C30" s="32" t="s">
        <v>738</v>
      </c>
      <c r="D30" s="33" t="s">
        <v>739</v>
      </c>
      <c r="E30" s="32" t="s">
        <v>758</v>
      </c>
      <c r="F30" s="33" t="s">
        <v>759</v>
      </c>
      <c r="G30" s="11">
        <v>0</v>
      </c>
      <c r="H30">
        <v>0.5</v>
      </c>
      <c r="I30">
        <v>0.1</v>
      </c>
      <c r="J30">
        <v>0.9</v>
      </c>
      <c r="K30" s="1">
        <v>0.1</v>
      </c>
      <c r="L30" s="1"/>
      <c r="M30">
        <v>0</v>
      </c>
      <c r="N30">
        <v>0</v>
      </c>
      <c r="O30">
        <v>0</v>
      </c>
      <c r="P30">
        <v>0</v>
      </c>
      <c r="Q30">
        <v>0</v>
      </c>
      <c r="R30" t="e">
        <v>#DIV/0!</v>
      </c>
    </row>
    <row r="31" spans="1:18" ht="15.5">
      <c r="A31" s="31" t="s">
        <v>692</v>
      </c>
      <c r="B31" s="32" t="s">
        <v>693</v>
      </c>
      <c r="C31" s="32" t="s">
        <v>738</v>
      </c>
      <c r="D31" s="33" t="s">
        <v>739</v>
      </c>
      <c r="E31" s="32" t="s">
        <v>760</v>
      </c>
      <c r="F31" s="33" t="s">
        <v>761</v>
      </c>
      <c r="G31" s="11">
        <v>182.33333329999999</v>
      </c>
      <c r="H31">
        <v>0.5</v>
      </c>
      <c r="I31">
        <v>0.1</v>
      </c>
      <c r="J31">
        <v>0.9</v>
      </c>
      <c r="K31" s="1">
        <v>0.1</v>
      </c>
      <c r="L31" s="1"/>
      <c r="M31">
        <v>55</v>
      </c>
      <c r="N31">
        <v>60</v>
      </c>
      <c r="O31">
        <v>50</v>
      </c>
      <c r="P31">
        <v>10</v>
      </c>
      <c r="Q31">
        <v>10</v>
      </c>
      <c r="R31">
        <v>7.3838042167438153E-2</v>
      </c>
    </row>
    <row r="32" spans="1:18" ht="15.5">
      <c r="A32" s="31" t="s">
        <v>692</v>
      </c>
      <c r="B32" s="32" t="s">
        <v>693</v>
      </c>
      <c r="C32" s="32" t="s">
        <v>762</v>
      </c>
      <c r="D32" s="33" t="s">
        <v>763</v>
      </c>
      <c r="E32" s="32" t="s">
        <v>764</v>
      </c>
      <c r="F32" s="33" t="s">
        <v>765</v>
      </c>
      <c r="G32" s="11">
        <v>0</v>
      </c>
      <c r="H32">
        <v>0.5</v>
      </c>
      <c r="I32">
        <v>0.1</v>
      </c>
      <c r="J32">
        <v>0.9</v>
      </c>
      <c r="K32" s="1">
        <v>0.1</v>
      </c>
      <c r="L32" s="1"/>
      <c r="M32">
        <v>0</v>
      </c>
      <c r="N32">
        <v>0</v>
      </c>
      <c r="O32">
        <v>0</v>
      </c>
      <c r="P32">
        <v>0</v>
      </c>
      <c r="Q32">
        <v>0</v>
      </c>
      <c r="R32" t="e">
        <v>#DIV/0!</v>
      </c>
    </row>
    <row r="33" spans="1:18" ht="15.5">
      <c r="A33" s="31" t="s">
        <v>692</v>
      </c>
      <c r="B33" s="32" t="s">
        <v>693</v>
      </c>
      <c r="C33" s="32" t="s">
        <v>762</v>
      </c>
      <c r="D33" s="33" t="s">
        <v>763</v>
      </c>
      <c r="E33" s="32" t="s">
        <v>766</v>
      </c>
      <c r="F33" s="33" t="s">
        <v>767</v>
      </c>
      <c r="G33" s="11">
        <v>191.66666670000001</v>
      </c>
      <c r="H33">
        <v>0.5</v>
      </c>
      <c r="I33">
        <v>0.1</v>
      </c>
      <c r="J33">
        <v>0.9</v>
      </c>
      <c r="K33" s="1">
        <v>0.1</v>
      </c>
      <c r="L33" s="1"/>
      <c r="M33">
        <v>55</v>
      </c>
      <c r="N33">
        <v>60</v>
      </c>
      <c r="O33">
        <v>50</v>
      </c>
      <c r="P33">
        <v>10</v>
      </c>
      <c r="Q33">
        <v>10</v>
      </c>
      <c r="R33">
        <v>7.7617686035507324E-2</v>
      </c>
    </row>
    <row r="34" spans="1:18" ht="15.5">
      <c r="A34" s="31" t="s">
        <v>692</v>
      </c>
      <c r="B34" s="32" t="s">
        <v>693</v>
      </c>
      <c r="C34" s="32" t="s">
        <v>762</v>
      </c>
      <c r="D34" s="33" t="s">
        <v>763</v>
      </c>
      <c r="E34" s="32" t="s">
        <v>768</v>
      </c>
      <c r="F34" s="33" t="s">
        <v>769</v>
      </c>
      <c r="G34" s="11">
        <v>0</v>
      </c>
      <c r="H34">
        <v>0.5</v>
      </c>
      <c r="I34">
        <v>0.1</v>
      </c>
      <c r="J34">
        <v>0.9</v>
      </c>
      <c r="K34" s="1">
        <v>0.1</v>
      </c>
      <c r="L34" s="1"/>
      <c r="M34">
        <v>0</v>
      </c>
      <c r="N34">
        <v>0</v>
      </c>
      <c r="O34">
        <v>0</v>
      </c>
      <c r="P34">
        <v>0</v>
      </c>
      <c r="Q34">
        <v>0</v>
      </c>
      <c r="R34" t="e">
        <v>#DIV/0!</v>
      </c>
    </row>
    <row r="35" spans="1:18" ht="15.5">
      <c r="A35" s="31" t="s">
        <v>692</v>
      </c>
      <c r="B35" s="32" t="s">
        <v>693</v>
      </c>
      <c r="C35" s="32" t="s">
        <v>762</v>
      </c>
      <c r="D35" s="33" t="s">
        <v>763</v>
      </c>
      <c r="E35" s="32" t="s">
        <v>770</v>
      </c>
      <c r="F35" s="33" t="s">
        <v>771</v>
      </c>
      <c r="G35" s="11">
        <v>577.33333330000005</v>
      </c>
      <c r="H35">
        <v>0.5</v>
      </c>
      <c r="I35">
        <v>0.1</v>
      </c>
      <c r="J35">
        <v>0.9</v>
      </c>
      <c r="K35" s="1">
        <v>0.1</v>
      </c>
      <c r="L35" s="1"/>
      <c r="M35">
        <v>68</v>
      </c>
      <c r="N35">
        <v>72</v>
      </c>
      <c r="O35">
        <v>62</v>
      </c>
      <c r="P35">
        <v>10</v>
      </c>
      <c r="Q35">
        <v>12</v>
      </c>
      <c r="R35">
        <v>0.19483164084399585</v>
      </c>
    </row>
    <row r="36" spans="1:18" ht="15.5">
      <c r="A36" s="31" t="s">
        <v>692</v>
      </c>
      <c r="B36" s="32" t="s">
        <v>693</v>
      </c>
      <c r="C36" s="32" t="s">
        <v>762</v>
      </c>
      <c r="D36" s="33" t="s">
        <v>763</v>
      </c>
      <c r="E36" s="32" t="s">
        <v>772</v>
      </c>
      <c r="F36" s="33" t="s">
        <v>773</v>
      </c>
      <c r="G36" s="11">
        <v>0</v>
      </c>
      <c r="H36">
        <v>0.5</v>
      </c>
      <c r="I36">
        <v>0.1</v>
      </c>
      <c r="J36">
        <v>0.9</v>
      </c>
      <c r="K36" s="1">
        <v>0.1</v>
      </c>
      <c r="L36" s="1"/>
      <c r="M36">
        <v>0</v>
      </c>
      <c r="N36">
        <v>0</v>
      </c>
      <c r="O36">
        <v>0</v>
      </c>
      <c r="P36">
        <v>0</v>
      </c>
      <c r="Q36">
        <v>0</v>
      </c>
      <c r="R36" t="e">
        <v>#DIV/0!</v>
      </c>
    </row>
    <row r="37" spans="1:18" ht="15.5">
      <c r="A37" s="31" t="s">
        <v>692</v>
      </c>
      <c r="B37" s="32" t="s">
        <v>693</v>
      </c>
      <c r="C37" s="32" t="s">
        <v>762</v>
      </c>
      <c r="D37" s="33" t="s">
        <v>763</v>
      </c>
      <c r="E37" s="32" t="s">
        <v>774</v>
      </c>
      <c r="F37" s="33" t="s">
        <v>775</v>
      </c>
      <c r="G37" s="11">
        <v>0</v>
      </c>
      <c r="H37">
        <v>0.5</v>
      </c>
      <c r="I37">
        <v>0.1</v>
      </c>
      <c r="J37">
        <v>0.9</v>
      </c>
      <c r="K37" s="1">
        <v>0.1</v>
      </c>
      <c r="L37" s="1"/>
      <c r="M37">
        <v>0</v>
      </c>
      <c r="N37">
        <v>0</v>
      </c>
      <c r="O37">
        <v>0</v>
      </c>
      <c r="P37">
        <v>0</v>
      </c>
      <c r="Q37">
        <v>0</v>
      </c>
      <c r="R37" t="e">
        <v>#DIV/0!</v>
      </c>
    </row>
    <row r="38" spans="1:18" ht="15.5">
      <c r="A38" s="31" t="s">
        <v>692</v>
      </c>
      <c r="B38" s="32" t="s">
        <v>693</v>
      </c>
      <c r="C38" s="32" t="s">
        <v>762</v>
      </c>
      <c r="D38" s="33" t="s">
        <v>763</v>
      </c>
      <c r="E38" s="32" t="s">
        <v>776</v>
      </c>
      <c r="F38" s="33" t="s">
        <v>777</v>
      </c>
      <c r="G38" s="11">
        <v>0</v>
      </c>
      <c r="H38">
        <v>0.5</v>
      </c>
      <c r="I38">
        <v>0.1</v>
      </c>
      <c r="J38">
        <v>0.9</v>
      </c>
      <c r="K38" s="1">
        <v>0.1</v>
      </c>
      <c r="L38" s="1"/>
      <c r="M38">
        <v>0</v>
      </c>
      <c r="N38">
        <v>0</v>
      </c>
      <c r="O38">
        <v>0</v>
      </c>
      <c r="P38">
        <v>0</v>
      </c>
      <c r="Q38">
        <v>0</v>
      </c>
      <c r="R38" t="e">
        <v>#DIV/0!</v>
      </c>
    </row>
    <row r="39" spans="1:18" ht="15.5">
      <c r="A39" s="31" t="s">
        <v>692</v>
      </c>
      <c r="B39" s="32" t="s">
        <v>693</v>
      </c>
      <c r="C39" s="32" t="s">
        <v>778</v>
      </c>
      <c r="D39" s="33" t="s">
        <v>779</v>
      </c>
      <c r="E39" s="32" t="s">
        <v>780</v>
      </c>
      <c r="F39" s="33" t="s">
        <v>781</v>
      </c>
      <c r="G39" s="11">
        <v>10548.166670000001</v>
      </c>
      <c r="H39">
        <v>0.5</v>
      </c>
      <c r="I39">
        <v>0.1</v>
      </c>
      <c r="J39">
        <v>0.9</v>
      </c>
      <c r="K39" s="1">
        <v>0.1</v>
      </c>
      <c r="L39" s="1"/>
      <c r="M39">
        <v>74</v>
      </c>
      <c r="N39">
        <v>78</v>
      </c>
      <c r="O39">
        <v>67</v>
      </c>
      <c r="P39">
        <v>11</v>
      </c>
      <c r="Q39">
        <v>13</v>
      </c>
      <c r="R39">
        <v>3.2858499880931489</v>
      </c>
    </row>
    <row r="40" spans="1:18" ht="15.5">
      <c r="A40" s="31" t="s">
        <v>692</v>
      </c>
      <c r="B40" s="32" t="s">
        <v>693</v>
      </c>
      <c r="C40" s="32" t="s">
        <v>778</v>
      </c>
      <c r="D40" s="33" t="s">
        <v>779</v>
      </c>
      <c r="E40" s="32" t="s">
        <v>782</v>
      </c>
      <c r="F40" s="33" t="s">
        <v>783</v>
      </c>
      <c r="G40" s="11">
        <v>12208.5</v>
      </c>
      <c r="H40">
        <v>0.5</v>
      </c>
      <c r="I40">
        <v>0.1</v>
      </c>
      <c r="J40">
        <v>0.9</v>
      </c>
      <c r="K40" s="1">
        <v>0.1</v>
      </c>
      <c r="L40" s="1"/>
      <c r="M40">
        <v>74</v>
      </c>
      <c r="N40">
        <v>78</v>
      </c>
      <c r="O40">
        <v>67</v>
      </c>
      <c r="P40">
        <v>11</v>
      </c>
      <c r="Q40">
        <v>13</v>
      </c>
      <c r="R40">
        <v>3.8030589423399017</v>
      </c>
    </row>
    <row r="41" spans="1:18" ht="15.5">
      <c r="A41" s="31" t="s">
        <v>692</v>
      </c>
      <c r="B41" s="32" t="s">
        <v>693</v>
      </c>
      <c r="C41" s="32" t="s">
        <v>778</v>
      </c>
      <c r="D41" s="33" t="s">
        <v>779</v>
      </c>
      <c r="E41" s="32" t="s">
        <v>784</v>
      </c>
      <c r="F41" s="33" t="s">
        <v>785</v>
      </c>
      <c r="G41" s="11">
        <v>1153.5</v>
      </c>
      <c r="H41">
        <v>0.5</v>
      </c>
      <c r="I41">
        <v>0.1</v>
      </c>
      <c r="J41">
        <v>0.9</v>
      </c>
      <c r="K41" s="1">
        <v>0.1</v>
      </c>
      <c r="L41" s="1"/>
      <c r="M41">
        <v>71</v>
      </c>
      <c r="N41">
        <v>72</v>
      </c>
      <c r="O41">
        <v>64</v>
      </c>
      <c r="P41">
        <v>8</v>
      </c>
      <c r="Q41">
        <v>12</v>
      </c>
      <c r="R41">
        <v>0.38926956881037794</v>
      </c>
    </row>
    <row r="42" spans="1:18" ht="15.5">
      <c r="A42" s="31" t="s">
        <v>692</v>
      </c>
      <c r="B42" s="32" t="s">
        <v>693</v>
      </c>
      <c r="C42" s="32" t="s">
        <v>786</v>
      </c>
      <c r="D42" s="33" t="s">
        <v>787</v>
      </c>
      <c r="E42" s="32" t="s">
        <v>788</v>
      </c>
      <c r="F42" s="33" t="s">
        <v>789</v>
      </c>
      <c r="G42" s="11">
        <v>0</v>
      </c>
      <c r="H42">
        <v>0.5</v>
      </c>
      <c r="I42">
        <v>0.1</v>
      </c>
      <c r="J42">
        <v>0.9</v>
      </c>
      <c r="K42" s="1">
        <v>0.1</v>
      </c>
      <c r="L42" s="1"/>
      <c r="M42">
        <v>0</v>
      </c>
      <c r="N42">
        <v>0</v>
      </c>
      <c r="O42">
        <v>0</v>
      </c>
      <c r="P42">
        <v>0</v>
      </c>
      <c r="Q42">
        <v>0</v>
      </c>
      <c r="R42" t="e">
        <v>#DIV/0!</v>
      </c>
    </row>
    <row r="43" spans="1:18" ht="15.5">
      <c r="A43" s="31" t="s">
        <v>692</v>
      </c>
      <c r="B43" s="32" t="s">
        <v>693</v>
      </c>
      <c r="C43" s="32" t="s">
        <v>786</v>
      </c>
      <c r="D43" s="33" t="s">
        <v>787</v>
      </c>
      <c r="E43" s="32" t="s">
        <v>790</v>
      </c>
      <c r="F43" s="33" t="s">
        <v>791</v>
      </c>
      <c r="G43" s="11">
        <v>356.33333329999999</v>
      </c>
      <c r="H43">
        <v>0.5</v>
      </c>
      <c r="I43">
        <v>0.1</v>
      </c>
      <c r="J43">
        <v>0.9</v>
      </c>
      <c r="K43" s="1">
        <v>0.1</v>
      </c>
      <c r="L43" s="1"/>
      <c r="M43">
        <v>63</v>
      </c>
      <c r="N43">
        <v>66</v>
      </c>
      <c r="O43">
        <v>57</v>
      </c>
      <c r="P43">
        <v>9</v>
      </c>
      <c r="Q43">
        <v>11</v>
      </c>
      <c r="R43">
        <v>0.13118309304310738</v>
      </c>
    </row>
    <row r="44" spans="1:18" ht="15.5">
      <c r="A44" s="31" t="s">
        <v>692</v>
      </c>
      <c r="B44" s="32" t="s">
        <v>693</v>
      </c>
      <c r="C44" s="32" t="s">
        <v>786</v>
      </c>
      <c r="D44" s="33" t="s">
        <v>787</v>
      </c>
      <c r="E44" s="32" t="s">
        <v>792</v>
      </c>
      <c r="F44" s="33" t="s">
        <v>793</v>
      </c>
      <c r="G44" s="11">
        <v>7918.3333329999996</v>
      </c>
      <c r="H44">
        <v>0.5</v>
      </c>
      <c r="I44">
        <v>0.1</v>
      </c>
      <c r="J44">
        <v>0.9</v>
      </c>
      <c r="K44" s="1">
        <v>0.1</v>
      </c>
      <c r="L44" s="1"/>
      <c r="M44">
        <v>74</v>
      </c>
      <c r="N44">
        <v>78</v>
      </c>
      <c r="O44">
        <v>67</v>
      </c>
      <c r="P44">
        <v>11</v>
      </c>
      <c r="Q44">
        <v>13</v>
      </c>
      <c r="R44">
        <v>2.4666329516725041</v>
      </c>
    </row>
    <row r="45" spans="1:18" ht="15.5">
      <c r="A45" s="31" t="s">
        <v>692</v>
      </c>
      <c r="B45" s="32" t="s">
        <v>693</v>
      </c>
      <c r="C45" s="32" t="s">
        <v>786</v>
      </c>
      <c r="D45" s="33" t="s">
        <v>787</v>
      </c>
      <c r="E45" s="32" t="s">
        <v>794</v>
      </c>
      <c r="F45" s="33" t="s">
        <v>795</v>
      </c>
      <c r="G45" s="11">
        <v>3435</v>
      </c>
      <c r="H45">
        <v>0.5</v>
      </c>
      <c r="I45">
        <v>0.1</v>
      </c>
      <c r="J45">
        <v>0.9</v>
      </c>
      <c r="K45" s="1">
        <v>0.1</v>
      </c>
      <c r="L45" s="1"/>
      <c r="M45">
        <v>73</v>
      </c>
      <c r="N45">
        <v>78</v>
      </c>
      <c r="O45">
        <v>66</v>
      </c>
      <c r="P45">
        <v>12</v>
      </c>
      <c r="Q45">
        <v>13</v>
      </c>
      <c r="R45">
        <v>1.0700337852264865</v>
      </c>
    </row>
    <row r="46" spans="1:18" ht="15.5">
      <c r="A46" s="31" t="s">
        <v>692</v>
      </c>
      <c r="B46" s="32" t="s">
        <v>693</v>
      </c>
      <c r="C46" s="32" t="s">
        <v>786</v>
      </c>
      <c r="D46" s="33" t="s">
        <v>787</v>
      </c>
      <c r="E46" s="32" t="s">
        <v>796</v>
      </c>
      <c r="F46" s="33" t="s">
        <v>797</v>
      </c>
      <c r="G46" s="11">
        <v>0</v>
      </c>
      <c r="H46">
        <v>0.5</v>
      </c>
      <c r="I46">
        <v>0.1</v>
      </c>
      <c r="J46">
        <v>0.9</v>
      </c>
      <c r="K46" s="1">
        <v>0.1</v>
      </c>
      <c r="L46" s="1"/>
      <c r="M46">
        <v>0</v>
      </c>
      <c r="N46">
        <v>0</v>
      </c>
      <c r="O46">
        <v>0</v>
      </c>
      <c r="P46">
        <v>0</v>
      </c>
      <c r="Q46">
        <v>0</v>
      </c>
      <c r="R46" t="e">
        <v>#DIV/0!</v>
      </c>
    </row>
    <row r="47" spans="1:18" ht="15.5">
      <c r="A47" s="31" t="s">
        <v>692</v>
      </c>
      <c r="B47" s="32" t="s">
        <v>693</v>
      </c>
      <c r="C47" s="32" t="s">
        <v>786</v>
      </c>
      <c r="D47" s="33" t="s">
        <v>787</v>
      </c>
      <c r="E47" s="32" t="s">
        <v>798</v>
      </c>
      <c r="F47" s="33" t="s">
        <v>799</v>
      </c>
      <c r="G47" s="11">
        <v>11994.666670000001</v>
      </c>
      <c r="H47">
        <v>0.5</v>
      </c>
      <c r="I47">
        <v>0.1</v>
      </c>
      <c r="J47">
        <v>0.9</v>
      </c>
      <c r="K47" s="1">
        <v>0.1</v>
      </c>
      <c r="L47" s="1"/>
      <c r="M47">
        <v>74</v>
      </c>
      <c r="N47">
        <v>78</v>
      </c>
      <c r="O47">
        <v>67</v>
      </c>
      <c r="P47">
        <v>11</v>
      </c>
      <c r="Q47">
        <v>13</v>
      </c>
      <c r="R47">
        <v>3.7364479124978391</v>
      </c>
    </row>
    <row r="48" spans="1:18" ht="15.5">
      <c r="A48" s="36" t="s">
        <v>692</v>
      </c>
      <c r="B48" s="37" t="s">
        <v>693</v>
      </c>
      <c r="C48" s="37" t="s">
        <v>786</v>
      </c>
      <c r="D48" s="38" t="s">
        <v>787</v>
      </c>
      <c r="E48" s="37" t="s">
        <v>800</v>
      </c>
      <c r="F48" s="38" t="s">
        <v>801</v>
      </c>
      <c r="G48" s="11">
        <v>123.33333330000001</v>
      </c>
      <c r="H48">
        <v>0.5</v>
      </c>
      <c r="I48">
        <v>0.1</v>
      </c>
      <c r="J48">
        <v>0.9</v>
      </c>
      <c r="K48" s="1">
        <v>0.1</v>
      </c>
      <c r="L48" s="1"/>
      <c r="M48">
        <v>49</v>
      </c>
      <c r="N48">
        <v>54</v>
      </c>
      <c r="O48">
        <v>45</v>
      </c>
      <c r="P48">
        <v>9</v>
      </c>
      <c r="Q48">
        <v>9</v>
      </c>
      <c r="R48">
        <v>5.5494770667403708E-2</v>
      </c>
    </row>
    <row r="49" spans="1:18" ht="15.5">
      <c r="A49" s="41" t="s">
        <v>802</v>
      </c>
      <c r="B49" s="42" t="s">
        <v>803</v>
      </c>
      <c r="C49" s="42" t="s">
        <v>804</v>
      </c>
      <c r="D49" s="42" t="s">
        <v>805</v>
      </c>
      <c r="E49" s="42" t="s">
        <v>804</v>
      </c>
      <c r="F49" s="43"/>
      <c r="G49" s="11">
        <v>1882.8333333999999</v>
      </c>
      <c r="M49">
        <v>72</v>
      </c>
      <c r="N49">
        <v>72</v>
      </c>
      <c r="O49">
        <v>72</v>
      </c>
      <c r="P49">
        <v>0</v>
      </c>
      <c r="Q49">
        <v>12</v>
      </c>
      <c r="R49">
        <v>0.63539637610266542</v>
      </c>
    </row>
    <row r="50" spans="1:18">
      <c r="C50"/>
      <c r="D50"/>
      <c r="E50"/>
      <c r="F50"/>
    </row>
    <row r="51" spans="1:18">
      <c r="C51"/>
      <c r="D51"/>
      <c r="E51"/>
      <c r="F51"/>
    </row>
    <row r="52" spans="1:18">
      <c r="C52"/>
      <c r="D52"/>
      <c r="E52"/>
      <c r="F52"/>
    </row>
    <row r="53" spans="1:18">
      <c r="C53"/>
      <c r="D53"/>
      <c r="E53"/>
      <c r="F53"/>
      <c r="G53" s="2"/>
    </row>
    <row r="54" spans="1:18">
      <c r="C54"/>
      <c r="D54"/>
      <c r="E54"/>
      <c r="F54"/>
    </row>
    <row r="55" spans="1:18">
      <c r="C55"/>
      <c r="D55"/>
      <c r="E55"/>
      <c r="F55"/>
    </row>
    <row r="56" spans="1:18">
      <c r="C56"/>
      <c r="D56"/>
      <c r="E56"/>
      <c r="F56"/>
    </row>
    <row r="57" spans="1:18">
      <c r="C57"/>
      <c r="D57"/>
      <c r="E57"/>
      <c r="F57"/>
    </row>
    <row r="58" spans="1:18">
      <c r="C58"/>
      <c r="D58"/>
      <c r="E58"/>
      <c r="F58"/>
    </row>
    <row r="59" spans="1:18">
      <c r="C59"/>
      <c r="D59"/>
      <c r="E59"/>
      <c r="F59"/>
    </row>
    <row r="60" spans="1:18">
      <c r="C60"/>
      <c r="D60"/>
      <c r="E60"/>
      <c r="F60"/>
    </row>
    <row r="61" spans="1:18">
      <c r="C61"/>
      <c r="D61"/>
      <c r="E61"/>
      <c r="F61"/>
    </row>
    <row r="62" spans="1:18">
      <c r="C62"/>
      <c r="D62"/>
      <c r="E62"/>
      <c r="F62"/>
    </row>
    <row r="63" spans="1:18">
      <c r="C63"/>
      <c r="D63"/>
      <c r="E63"/>
      <c r="F63"/>
    </row>
    <row r="64" spans="1:18">
      <c r="C64"/>
      <c r="D64"/>
      <c r="E64"/>
      <c r="F64"/>
    </row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  <row r="549" customFormat="1"/>
    <row r="550" customFormat="1"/>
    <row r="551" customFormat="1"/>
    <row r="552" customFormat="1"/>
    <row r="553" customFormat="1"/>
    <row r="554" customFormat="1"/>
    <row r="555" customFormat="1"/>
    <row r="556" customFormat="1"/>
    <row r="557" customFormat="1"/>
    <row r="558" customFormat="1"/>
    <row r="559" customFormat="1"/>
    <row r="560" customFormat="1"/>
    <row r="561" customFormat="1"/>
    <row r="562" customFormat="1"/>
    <row r="563" customFormat="1"/>
    <row r="564" customFormat="1"/>
    <row r="565" customFormat="1"/>
    <row r="566" customFormat="1"/>
    <row r="567" customFormat="1"/>
    <row r="568" customFormat="1"/>
    <row r="569" customFormat="1"/>
    <row r="570" customFormat="1"/>
    <row r="571" customFormat="1"/>
    <row r="572" customFormat="1"/>
    <row r="573" customFormat="1"/>
    <row r="574" customFormat="1"/>
    <row r="575" customFormat="1"/>
    <row r="576" customFormat="1"/>
    <row r="577" customFormat="1"/>
    <row r="578" customFormat="1"/>
    <row r="579" customFormat="1"/>
    <row r="580" customFormat="1"/>
    <row r="581" customFormat="1"/>
    <row r="582" customFormat="1"/>
    <row r="583" customFormat="1"/>
    <row r="584" customFormat="1"/>
    <row r="585" customFormat="1"/>
    <row r="586" customFormat="1"/>
    <row r="587" customFormat="1"/>
    <row r="588" customFormat="1"/>
    <row r="589" customFormat="1"/>
    <row r="590" customFormat="1"/>
    <row r="591" customFormat="1"/>
    <row r="592" customFormat="1"/>
    <row r="593" customFormat="1"/>
    <row r="594" customFormat="1"/>
    <row r="595" customFormat="1"/>
    <row r="596" customFormat="1"/>
    <row r="597" customFormat="1"/>
    <row r="598" customFormat="1"/>
    <row r="599" customFormat="1"/>
    <row r="600" customFormat="1"/>
    <row r="601" customFormat="1"/>
    <row r="602" customFormat="1"/>
    <row r="603" customFormat="1"/>
    <row r="604" customFormat="1"/>
    <row r="605" customFormat="1"/>
    <row r="606" customFormat="1"/>
    <row r="607" customFormat="1"/>
    <row r="608" customFormat="1"/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21" customFormat="1"/>
    <row r="622" customFormat="1"/>
    <row r="623" customFormat="1"/>
    <row r="624" customFormat="1"/>
    <row r="625" customFormat="1"/>
    <row r="626" customFormat="1"/>
    <row r="627" customFormat="1"/>
    <row r="628" customFormat="1"/>
    <row r="629" customFormat="1"/>
    <row r="630" customFormat="1"/>
    <row r="631" customFormat="1"/>
    <row r="632" customFormat="1"/>
    <row r="633" customFormat="1"/>
    <row r="634" customFormat="1"/>
    <row r="635" customFormat="1"/>
    <row r="636" customFormat="1"/>
    <row r="637" customFormat="1"/>
    <row r="638" customFormat="1"/>
    <row r="639" customFormat="1"/>
    <row r="640" customFormat="1"/>
    <row r="641" customFormat="1"/>
    <row r="642" customFormat="1"/>
    <row r="643" customFormat="1"/>
    <row r="644" customFormat="1"/>
    <row r="645" customFormat="1"/>
    <row r="646" customFormat="1"/>
    <row r="647" customFormat="1"/>
    <row r="648" customFormat="1"/>
    <row r="649" customFormat="1"/>
    <row r="650" customFormat="1"/>
    <row r="651" customFormat="1"/>
    <row r="652" customFormat="1"/>
    <row r="653" customFormat="1"/>
    <row r="654" customFormat="1"/>
    <row r="655" customFormat="1"/>
    <row r="656" customFormat="1"/>
    <row r="657" customFormat="1"/>
    <row r="658" customFormat="1"/>
    <row r="659" customFormat="1"/>
    <row r="660" customFormat="1"/>
    <row r="661" customFormat="1"/>
    <row r="662" customFormat="1"/>
    <row r="663" customFormat="1"/>
    <row r="664" customFormat="1"/>
    <row r="665" customFormat="1"/>
    <row r="666" customFormat="1"/>
    <row r="667" customFormat="1"/>
    <row r="668" customFormat="1"/>
    <row r="669" customFormat="1"/>
    <row r="670" customFormat="1"/>
    <row r="671" customFormat="1"/>
    <row r="672" customFormat="1"/>
    <row r="673" customFormat="1"/>
    <row r="674" customFormat="1"/>
    <row r="675" customFormat="1"/>
    <row r="676" customFormat="1"/>
    <row r="677" customFormat="1"/>
    <row r="678" customFormat="1"/>
    <row r="679" customFormat="1"/>
    <row r="680" customFormat="1"/>
    <row r="681" customFormat="1"/>
    <row r="682" customFormat="1"/>
    <row r="683" customFormat="1"/>
    <row r="684" customFormat="1"/>
    <row r="685" customFormat="1"/>
    <row r="686" customFormat="1"/>
    <row r="687" customFormat="1"/>
    <row r="688" customFormat="1"/>
    <row r="689" customFormat="1"/>
    <row r="690" customFormat="1"/>
    <row r="691" customFormat="1"/>
    <row r="692" customFormat="1"/>
    <row r="693" customFormat="1"/>
    <row r="694" customFormat="1"/>
    <row r="695" customFormat="1"/>
    <row r="696" customFormat="1"/>
    <row r="697" customFormat="1"/>
    <row r="698" customFormat="1"/>
    <row r="699" customFormat="1"/>
    <row r="700" customFormat="1"/>
    <row r="701" customFormat="1"/>
    <row r="702" customFormat="1"/>
    <row r="703" customFormat="1"/>
    <row r="704" customFormat="1"/>
    <row r="705" customFormat="1"/>
    <row r="706" customFormat="1"/>
    <row r="707" customFormat="1"/>
    <row r="708" customFormat="1"/>
    <row r="709" customFormat="1"/>
    <row r="710" customFormat="1"/>
    <row r="711" customFormat="1"/>
    <row r="712" customFormat="1"/>
    <row r="713" customFormat="1"/>
    <row r="714" customFormat="1"/>
    <row r="715" customFormat="1"/>
    <row r="716" customFormat="1"/>
    <row r="717" customFormat="1"/>
    <row r="718" customFormat="1"/>
    <row r="719" customFormat="1"/>
    <row r="720" customFormat="1"/>
    <row r="721" customFormat="1"/>
    <row r="722" customFormat="1"/>
    <row r="723" customFormat="1"/>
    <row r="724" customFormat="1"/>
    <row r="725" customFormat="1"/>
    <row r="726" customFormat="1"/>
    <row r="727" customFormat="1"/>
    <row r="728" customFormat="1"/>
    <row r="729" customFormat="1"/>
    <row r="730" customFormat="1"/>
    <row r="731" customFormat="1"/>
    <row r="732" customFormat="1"/>
    <row r="733" customFormat="1"/>
    <row r="734" customFormat="1"/>
    <row r="735" customFormat="1"/>
    <row r="736" customFormat="1"/>
    <row r="737" customFormat="1"/>
    <row r="738" customFormat="1"/>
    <row r="739" customFormat="1"/>
    <row r="740" customFormat="1"/>
    <row r="741" customFormat="1"/>
    <row r="742" customFormat="1"/>
    <row r="743" customFormat="1"/>
    <row r="744" customFormat="1"/>
    <row r="745" customFormat="1"/>
    <row r="746" customFormat="1"/>
    <row r="747" customFormat="1"/>
    <row r="748" customFormat="1"/>
    <row r="749" customFormat="1"/>
    <row r="750" customFormat="1"/>
    <row r="751" customFormat="1"/>
    <row r="752" customFormat="1"/>
    <row r="753" customFormat="1"/>
    <row r="754" customFormat="1"/>
    <row r="755" customFormat="1"/>
    <row r="756" customFormat="1"/>
    <row r="757" customFormat="1"/>
    <row r="758" customFormat="1"/>
    <row r="759" customFormat="1"/>
    <row r="760" customFormat="1"/>
    <row r="761" customFormat="1"/>
    <row r="762" customFormat="1"/>
    <row r="763" customFormat="1"/>
    <row r="764" customFormat="1"/>
    <row r="765" customFormat="1"/>
    <row r="766" customFormat="1"/>
    <row r="767" customFormat="1"/>
    <row r="768" customFormat="1"/>
    <row r="769" customFormat="1"/>
    <row r="770" customFormat="1"/>
    <row r="771" customFormat="1"/>
    <row r="772" customFormat="1"/>
    <row r="773" customFormat="1"/>
    <row r="774" customFormat="1"/>
    <row r="775" customFormat="1"/>
    <row r="776" customFormat="1"/>
    <row r="777" customFormat="1"/>
    <row r="778" customFormat="1"/>
    <row r="779" customFormat="1"/>
  </sheetData>
  <autoFilter ref="G1:R48" xr:uid="{28E3EC67-C13B-4331-A28E-49C922A2FD2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E086E-D80A-472D-95B8-302D7AB3F39F}">
  <dimension ref="A1:X774"/>
  <sheetViews>
    <sheetView zoomScale="82" workbookViewId="0">
      <pane xSplit="6" topLeftCell="G1" activePane="topRight" state="frozen"/>
      <selection pane="topRight" sqref="A1:XFD1048576"/>
    </sheetView>
  </sheetViews>
  <sheetFormatPr defaultRowHeight="13"/>
  <cols>
    <col min="1" max="1" width="19.44140625" customWidth="1"/>
    <col min="2" max="2" width="26.6640625" customWidth="1"/>
    <col min="3" max="3" width="24.109375" style="2" customWidth="1"/>
    <col min="4" max="4" width="30.33203125" style="2" customWidth="1"/>
    <col min="5" max="5" width="27.6640625" style="2" customWidth="1"/>
    <col min="6" max="6" width="19.77734375" style="2" bestFit="1" customWidth="1"/>
    <col min="7" max="7" width="21.77734375" bestFit="1" customWidth="1"/>
    <col min="8" max="8" width="17.109375" hidden="1" customWidth="1"/>
    <col min="9" max="9" width="15.109375" hidden="1" customWidth="1"/>
    <col min="10" max="10" width="26.44140625" hidden="1" customWidth="1"/>
    <col min="11" max="12" width="24.109375" hidden="1" customWidth="1"/>
    <col min="13" max="13" width="29.33203125" customWidth="1"/>
    <col min="14" max="14" width="29.6640625" customWidth="1"/>
    <col min="15" max="15" width="40.109375" customWidth="1"/>
    <col min="16" max="16" width="21.6640625" customWidth="1"/>
    <col min="17" max="18" width="22.109375" customWidth="1"/>
    <col min="20" max="20" width="34.44140625" hidden="1" customWidth="1"/>
    <col min="21" max="21" width="22.77734375" hidden="1" customWidth="1"/>
    <col min="22" max="22" width="21.77734375" hidden="1" customWidth="1"/>
    <col min="23" max="23" width="17.6640625" hidden="1" customWidth="1"/>
    <col min="24" max="24" width="16.33203125" hidden="1" customWidth="1"/>
    <col min="25" max="25" width="11.33203125" bestFit="1" customWidth="1"/>
  </cols>
  <sheetData>
    <row r="1" spans="1:23" s="6" customFormat="1" ht="33.65" customHeight="1">
      <c r="A1" s="29" t="s">
        <v>681</v>
      </c>
      <c r="B1" s="29" t="s">
        <v>682</v>
      </c>
      <c r="C1" s="29" t="s">
        <v>681</v>
      </c>
      <c r="D1" s="29" t="s">
        <v>683</v>
      </c>
      <c r="E1" s="29" t="s">
        <v>681</v>
      </c>
      <c r="F1" s="29" t="s">
        <v>684</v>
      </c>
      <c r="G1" s="10" t="s">
        <v>806</v>
      </c>
      <c r="H1" s="4" t="s">
        <v>16</v>
      </c>
      <c r="I1" s="4" t="s">
        <v>17</v>
      </c>
      <c r="J1" s="5" t="s">
        <v>18</v>
      </c>
      <c r="K1" s="5" t="s">
        <v>19</v>
      </c>
      <c r="L1" s="5"/>
      <c r="M1" s="5" t="s">
        <v>76</v>
      </c>
      <c r="N1" s="3" t="s">
        <v>807</v>
      </c>
      <c r="O1" s="3" t="s">
        <v>22</v>
      </c>
      <c r="P1" s="3" t="s">
        <v>23</v>
      </c>
      <c r="Q1" s="3" t="s">
        <v>24</v>
      </c>
      <c r="R1" s="3" t="s">
        <v>25</v>
      </c>
    </row>
    <row r="2" spans="1:23" ht="15.5">
      <c r="A2" s="31" t="s">
        <v>692</v>
      </c>
      <c r="B2" s="32" t="s">
        <v>693</v>
      </c>
      <c r="C2" s="32" t="s">
        <v>694</v>
      </c>
      <c r="D2" s="33" t="s">
        <v>695</v>
      </c>
      <c r="E2" s="32" t="s">
        <v>696</v>
      </c>
      <c r="F2" s="33" t="s">
        <v>697</v>
      </c>
      <c r="G2" s="11">
        <v>0</v>
      </c>
      <c r="H2">
        <v>0.5</v>
      </c>
      <c r="I2">
        <v>0.1</v>
      </c>
      <c r="J2">
        <v>0.9</v>
      </c>
      <c r="K2" s="1">
        <v>0.1</v>
      </c>
      <c r="L2" s="1"/>
      <c r="M2">
        <v>0</v>
      </c>
      <c r="N2">
        <v>0</v>
      </c>
      <c r="O2">
        <v>0</v>
      </c>
      <c r="P2">
        <v>0</v>
      </c>
      <c r="Q2">
        <v>0</v>
      </c>
      <c r="R2" t="e">
        <v>#DIV/0!</v>
      </c>
    </row>
    <row r="3" spans="1:23" ht="15.5">
      <c r="A3" s="31" t="s">
        <v>692</v>
      </c>
      <c r="B3" s="32" t="s">
        <v>693</v>
      </c>
      <c r="C3" s="32" t="s">
        <v>694</v>
      </c>
      <c r="D3" s="33" t="s">
        <v>695</v>
      </c>
      <c r="E3" s="32" t="s">
        <v>700</v>
      </c>
      <c r="F3" s="33" t="s">
        <v>701</v>
      </c>
      <c r="G3" s="11">
        <v>0</v>
      </c>
      <c r="H3">
        <v>0.5</v>
      </c>
      <c r="I3">
        <v>0.1</v>
      </c>
      <c r="J3">
        <v>0.9</v>
      </c>
      <c r="K3" s="1">
        <v>0.1</v>
      </c>
      <c r="L3" s="1"/>
      <c r="M3">
        <v>0</v>
      </c>
      <c r="N3">
        <v>0</v>
      </c>
      <c r="O3">
        <v>0</v>
      </c>
      <c r="P3">
        <v>0</v>
      </c>
      <c r="Q3">
        <v>0</v>
      </c>
      <c r="R3" t="e">
        <v>#DIV/0!</v>
      </c>
    </row>
    <row r="4" spans="1:23" ht="15.5">
      <c r="A4" s="31" t="s">
        <v>692</v>
      </c>
      <c r="B4" s="32" t="s">
        <v>693</v>
      </c>
      <c r="C4" s="32" t="s">
        <v>694</v>
      </c>
      <c r="D4" s="33" t="s">
        <v>695</v>
      </c>
      <c r="E4" s="32" t="s">
        <v>702</v>
      </c>
      <c r="F4" s="33" t="s">
        <v>703</v>
      </c>
      <c r="G4" s="11">
        <v>0</v>
      </c>
      <c r="H4">
        <v>0.5</v>
      </c>
      <c r="I4">
        <v>0.1</v>
      </c>
      <c r="J4">
        <v>0.9</v>
      </c>
      <c r="K4" s="1">
        <v>0.1</v>
      </c>
      <c r="L4" s="1"/>
      <c r="M4">
        <v>0</v>
      </c>
      <c r="N4">
        <v>0</v>
      </c>
      <c r="O4">
        <v>0</v>
      </c>
      <c r="P4">
        <v>0</v>
      </c>
      <c r="Q4">
        <v>0</v>
      </c>
      <c r="R4" t="e">
        <v>#DIV/0!</v>
      </c>
    </row>
    <row r="5" spans="1:23" ht="15.5">
      <c r="A5" s="31" t="s">
        <v>692</v>
      </c>
      <c r="B5" s="32" t="s">
        <v>693</v>
      </c>
      <c r="C5" s="32" t="s">
        <v>694</v>
      </c>
      <c r="D5" s="33" t="s">
        <v>695</v>
      </c>
      <c r="E5" s="32" t="s">
        <v>704</v>
      </c>
      <c r="F5" s="33" t="s">
        <v>705</v>
      </c>
      <c r="G5" s="11">
        <v>0</v>
      </c>
      <c r="H5">
        <v>0.5</v>
      </c>
      <c r="I5">
        <v>0.1</v>
      </c>
      <c r="J5">
        <v>0.9</v>
      </c>
      <c r="K5" s="1">
        <v>0.1</v>
      </c>
      <c r="L5" s="1"/>
      <c r="M5">
        <v>0</v>
      </c>
      <c r="N5">
        <v>0</v>
      </c>
      <c r="O5">
        <v>0</v>
      </c>
      <c r="P5">
        <v>0</v>
      </c>
      <c r="Q5">
        <v>0</v>
      </c>
      <c r="R5" t="e">
        <v>#DIV/0!</v>
      </c>
      <c r="U5" s="8" t="s">
        <v>30</v>
      </c>
      <c r="V5" s="8" t="s">
        <v>31</v>
      </c>
      <c r="W5" s="8" t="s">
        <v>2</v>
      </c>
    </row>
    <row r="6" spans="1:23" ht="15.5">
      <c r="A6" s="31" t="s">
        <v>692</v>
      </c>
      <c r="B6" s="32" t="s">
        <v>693</v>
      </c>
      <c r="C6" s="32" t="s">
        <v>694</v>
      </c>
      <c r="D6" s="33" t="s">
        <v>695</v>
      </c>
      <c r="E6" s="32" t="s">
        <v>706</v>
      </c>
      <c r="F6" s="33" t="s">
        <v>707</v>
      </c>
      <c r="G6" s="11">
        <v>0</v>
      </c>
      <c r="H6">
        <v>0.5</v>
      </c>
      <c r="I6">
        <v>0.1</v>
      </c>
      <c r="J6">
        <v>0.9</v>
      </c>
      <c r="K6" s="1">
        <v>0.1</v>
      </c>
      <c r="L6" s="1"/>
      <c r="M6">
        <v>0</v>
      </c>
      <c r="N6">
        <v>0</v>
      </c>
      <c r="O6">
        <v>0</v>
      </c>
      <c r="P6">
        <v>0</v>
      </c>
      <c r="Q6">
        <v>0</v>
      </c>
      <c r="R6" t="e">
        <v>#DIV/0!</v>
      </c>
      <c r="U6" s="7">
        <v>6</v>
      </c>
      <c r="V6" s="7">
        <v>0.06</v>
      </c>
      <c r="W6" s="7">
        <v>0.1</v>
      </c>
    </row>
    <row r="7" spans="1:23" ht="15.5">
      <c r="A7" s="31" t="s">
        <v>692</v>
      </c>
      <c r="B7" s="32" t="s">
        <v>693</v>
      </c>
      <c r="C7" s="32" t="s">
        <v>694</v>
      </c>
      <c r="D7" s="33" t="s">
        <v>695</v>
      </c>
      <c r="E7" s="32" t="s">
        <v>708</v>
      </c>
      <c r="F7" s="33" t="s">
        <v>709</v>
      </c>
      <c r="G7" s="11">
        <v>0</v>
      </c>
      <c r="H7">
        <v>0.5</v>
      </c>
      <c r="I7">
        <v>0.1</v>
      </c>
      <c r="J7">
        <v>0.9</v>
      </c>
      <c r="K7" s="1">
        <v>0.1</v>
      </c>
      <c r="L7" s="1"/>
      <c r="M7">
        <v>0</v>
      </c>
      <c r="N7">
        <v>0</v>
      </c>
      <c r="O7">
        <v>0</v>
      </c>
      <c r="P7">
        <v>0</v>
      </c>
      <c r="Q7">
        <v>0</v>
      </c>
      <c r="R7" t="e">
        <v>#DIV/0!</v>
      </c>
    </row>
    <row r="8" spans="1:23" ht="15.5">
      <c r="A8" s="31" t="s">
        <v>692</v>
      </c>
      <c r="B8" s="32" t="s">
        <v>693</v>
      </c>
      <c r="C8" s="32" t="s">
        <v>694</v>
      </c>
      <c r="D8" s="33" t="s">
        <v>695</v>
      </c>
      <c r="E8" s="32" t="s">
        <v>710</v>
      </c>
      <c r="F8" s="33" t="s">
        <v>711</v>
      </c>
      <c r="G8" s="11">
        <v>0</v>
      </c>
      <c r="H8">
        <v>0.5</v>
      </c>
      <c r="I8">
        <v>0.1</v>
      </c>
      <c r="J8">
        <v>0.9</v>
      </c>
      <c r="K8" s="1">
        <v>0.1</v>
      </c>
      <c r="L8" s="1"/>
      <c r="M8">
        <v>0</v>
      </c>
      <c r="N8">
        <v>0</v>
      </c>
      <c r="O8">
        <v>0</v>
      </c>
      <c r="P8">
        <v>0</v>
      </c>
      <c r="Q8">
        <v>0</v>
      </c>
      <c r="R8" t="e">
        <v>#DIV/0!</v>
      </c>
    </row>
    <row r="9" spans="1:23" ht="15.5">
      <c r="A9" s="31" t="s">
        <v>692</v>
      </c>
      <c r="B9" s="32" t="s">
        <v>693</v>
      </c>
      <c r="C9" s="32" t="s">
        <v>694</v>
      </c>
      <c r="D9" s="33" t="s">
        <v>695</v>
      </c>
      <c r="E9" s="32" t="s">
        <v>712</v>
      </c>
      <c r="F9" s="33" t="s">
        <v>713</v>
      </c>
      <c r="G9" s="11">
        <v>0</v>
      </c>
      <c r="H9">
        <v>0.5</v>
      </c>
      <c r="I9">
        <v>0.1</v>
      </c>
      <c r="J9">
        <v>0.9</v>
      </c>
      <c r="K9" s="1">
        <v>0.1</v>
      </c>
      <c r="L9" s="1"/>
      <c r="M9">
        <v>0</v>
      </c>
      <c r="N9">
        <v>0</v>
      </c>
      <c r="O9">
        <v>0</v>
      </c>
      <c r="P9">
        <v>0</v>
      </c>
      <c r="Q9">
        <v>0</v>
      </c>
      <c r="R9" t="e">
        <v>#DIV/0!</v>
      </c>
    </row>
    <row r="10" spans="1:23" ht="15.5">
      <c r="A10" s="31" t="s">
        <v>692</v>
      </c>
      <c r="B10" s="32" t="s">
        <v>693</v>
      </c>
      <c r="C10" s="32" t="s">
        <v>694</v>
      </c>
      <c r="D10" s="33" t="s">
        <v>695</v>
      </c>
      <c r="E10" s="32" t="s">
        <v>714</v>
      </c>
      <c r="F10" s="33" t="s">
        <v>715</v>
      </c>
      <c r="G10" s="11">
        <v>0</v>
      </c>
      <c r="H10">
        <v>0.5</v>
      </c>
      <c r="I10">
        <v>0.1</v>
      </c>
      <c r="J10">
        <v>0.9</v>
      </c>
      <c r="K10" s="1">
        <v>0.1</v>
      </c>
      <c r="L10" s="1"/>
      <c r="M10">
        <v>0</v>
      </c>
      <c r="N10">
        <v>0</v>
      </c>
      <c r="O10">
        <v>0</v>
      </c>
      <c r="P10">
        <v>0</v>
      </c>
      <c r="Q10">
        <v>0</v>
      </c>
      <c r="R10" t="e">
        <v>#DIV/0!</v>
      </c>
    </row>
    <row r="11" spans="1:23" ht="15.5">
      <c r="A11" s="31" t="s">
        <v>692</v>
      </c>
      <c r="B11" s="32" t="s">
        <v>693</v>
      </c>
      <c r="C11" s="32" t="s">
        <v>716</v>
      </c>
      <c r="D11" s="33" t="s">
        <v>717</v>
      </c>
      <c r="E11" s="32" t="s">
        <v>718</v>
      </c>
      <c r="F11" s="33" t="s">
        <v>719</v>
      </c>
      <c r="G11" s="11">
        <v>281.33333333333297</v>
      </c>
      <c r="H11">
        <v>0.5</v>
      </c>
      <c r="I11">
        <v>0.1</v>
      </c>
      <c r="J11">
        <v>0.9</v>
      </c>
      <c r="K11" s="1">
        <v>0.1</v>
      </c>
      <c r="L11" s="1"/>
      <c r="M11">
        <v>61</v>
      </c>
      <c r="N11">
        <v>66</v>
      </c>
      <c r="O11">
        <v>55</v>
      </c>
      <c r="P11">
        <v>11</v>
      </c>
      <c r="Q11">
        <v>11</v>
      </c>
      <c r="R11">
        <v>0.1432636276139643</v>
      </c>
    </row>
    <row r="12" spans="1:23" ht="15.5">
      <c r="A12" s="31" t="s">
        <v>692</v>
      </c>
      <c r="B12" s="32" t="s">
        <v>693</v>
      </c>
      <c r="C12" s="32" t="s">
        <v>716</v>
      </c>
      <c r="D12" s="33" t="s">
        <v>717</v>
      </c>
      <c r="E12" s="32" t="s">
        <v>720</v>
      </c>
      <c r="F12" s="33" t="s">
        <v>721</v>
      </c>
      <c r="G12" s="11">
        <v>0</v>
      </c>
      <c r="H12">
        <v>0.5</v>
      </c>
      <c r="I12">
        <v>0.1</v>
      </c>
      <c r="J12">
        <v>0.9</v>
      </c>
      <c r="K12" s="1">
        <v>0.1</v>
      </c>
      <c r="L12" s="1"/>
      <c r="M12">
        <v>0</v>
      </c>
      <c r="N12">
        <v>0</v>
      </c>
      <c r="O12">
        <v>0</v>
      </c>
      <c r="P12">
        <v>0</v>
      </c>
      <c r="Q12">
        <v>0</v>
      </c>
      <c r="R12" t="e">
        <v>#DIV/0!</v>
      </c>
    </row>
    <row r="13" spans="1:23" ht="13.75" customHeight="1">
      <c r="A13" s="31" t="s">
        <v>692</v>
      </c>
      <c r="B13" s="32" t="s">
        <v>693</v>
      </c>
      <c r="C13" s="32" t="s">
        <v>716</v>
      </c>
      <c r="D13" s="33" t="s">
        <v>717</v>
      </c>
      <c r="E13" s="32" t="s">
        <v>722</v>
      </c>
      <c r="F13" s="33" t="s">
        <v>723</v>
      </c>
      <c r="G13" s="11">
        <v>2221.3333333333298</v>
      </c>
      <c r="H13">
        <v>0.5</v>
      </c>
      <c r="I13">
        <v>0.1</v>
      </c>
      <c r="J13">
        <v>0.9</v>
      </c>
      <c r="K13" s="1">
        <v>0.1</v>
      </c>
      <c r="L13" s="1"/>
      <c r="M13">
        <v>73</v>
      </c>
      <c r="N13">
        <v>78</v>
      </c>
      <c r="O13">
        <v>66</v>
      </c>
      <c r="P13">
        <v>12</v>
      </c>
      <c r="Q13">
        <v>13</v>
      </c>
      <c r="R13">
        <v>0.95714518397867621</v>
      </c>
    </row>
    <row r="14" spans="1:23" ht="13.75" customHeight="1">
      <c r="A14" s="31" t="s">
        <v>692</v>
      </c>
      <c r="B14" s="32" t="s">
        <v>693</v>
      </c>
      <c r="C14" s="32" t="s">
        <v>716</v>
      </c>
      <c r="D14" s="33" t="s">
        <v>717</v>
      </c>
      <c r="E14" s="32" t="s">
        <v>724</v>
      </c>
      <c r="F14" s="33" t="s">
        <v>725</v>
      </c>
      <c r="G14" s="11">
        <v>111.5</v>
      </c>
      <c r="H14">
        <v>0.5</v>
      </c>
      <c r="I14">
        <v>0.1</v>
      </c>
      <c r="J14">
        <v>0.9</v>
      </c>
      <c r="K14" s="1">
        <v>0.1</v>
      </c>
      <c r="L14" s="1"/>
      <c r="M14">
        <v>47</v>
      </c>
      <c r="N14">
        <v>48</v>
      </c>
      <c r="O14">
        <v>43</v>
      </c>
      <c r="P14">
        <v>5</v>
      </c>
      <c r="Q14">
        <v>8</v>
      </c>
      <c r="R14">
        <v>7.8071462945139558E-2</v>
      </c>
    </row>
    <row r="15" spans="1:23" ht="13.75" customHeight="1">
      <c r="A15" s="31" t="s">
        <v>692</v>
      </c>
      <c r="B15" s="32" t="s">
        <v>693</v>
      </c>
      <c r="C15" s="32" t="s">
        <v>716</v>
      </c>
      <c r="D15" s="33" t="s">
        <v>717</v>
      </c>
      <c r="E15" s="32" t="s">
        <v>726</v>
      </c>
      <c r="F15" s="33" t="s">
        <v>727</v>
      </c>
      <c r="G15" s="11">
        <v>0</v>
      </c>
      <c r="H15">
        <v>0.5</v>
      </c>
      <c r="I15">
        <v>0.1</v>
      </c>
      <c r="J15">
        <v>0.9</v>
      </c>
      <c r="K15" s="1">
        <v>0.1</v>
      </c>
      <c r="L15" s="1"/>
      <c r="M15">
        <v>0</v>
      </c>
      <c r="N15">
        <v>0</v>
      </c>
      <c r="O15">
        <v>0</v>
      </c>
      <c r="P15">
        <v>0</v>
      </c>
      <c r="Q15">
        <v>0</v>
      </c>
      <c r="R15" t="e">
        <v>#DIV/0!</v>
      </c>
    </row>
    <row r="16" spans="1:23" ht="15.5">
      <c r="A16" s="31" t="s">
        <v>692</v>
      </c>
      <c r="B16" s="32" t="s">
        <v>693</v>
      </c>
      <c r="C16" s="32" t="s">
        <v>716</v>
      </c>
      <c r="D16" s="33" t="s">
        <v>717</v>
      </c>
      <c r="E16" s="32" t="s">
        <v>728</v>
      </c>
      <c r="F16" s="33" t="s">
        <v>729</v>
      </c>
      <c r="G16" s="11">
        <v>3998.3333333333298</v>
      </c>
      <c r="H16">
        <v>0.5</v>
      </c>
      <c r="I16">
        <v>0.1</v>
      </c>
      <c r="J16">
        <v>0.9</v>
      </c>
      <c r="K16" s="1">
        <v>0.1</v>
      </c>
      <c r="L16" s="1"/>
      <c r="M16">
        <v>74</v>
      </c>
      <c r="N16">
        <v>78</v>
      </c>
      <c r="O16">
        <v>67</v>
      </c>
      <c r="P16">
        <v>11</v>
      </c>
      <c r="Q16">
        <v>13</v>
      </c>
      <c r="R16">
        <v>1.7228326053157608</v>
      </c>
    </row>
    <row r="17" spans="1:18" ht="15.5">
      <c r="A17" s="31" t="s">
        <v>692</v>
      </c>
      <c r="B17" s="32" t="s">
        <v>693</v>
      </c>
      <c r="C17" s="32" t="s">
        <v>716</v>
      </c>
      <c r="D17" s="33" t="s">
        <v>717</v>
      </c>
      <c r="E17" s="32" t="s">
        <v>730</v>
      </c>
      <c r="F17" s="33" t="s">
        <v>731</v>
      </c>
      <c r="G17" s="11">
        <v>3782.5</v>
      </c>
      <c r="H17">
        <v>0.5</v>
      </c>
      <c r="I17">
        <v>0.1</v>
      </c>
      <c r="J17">
        <v>0.9</v>
      </c>
      <c r="K17" s="1">
        <v>0.1</v>
      </c>
      <c r="L17" s="1"/>
      <c r="M17">
        <v>73</v>
      </c>
      <c r="N17">
        <v>78</v>
      </c>
      <c r="O17">
        <v>66</v>
      </c>
      <c r="P17">
        <v>12</v>
      </c>
      <c r="Q17">
        <v>13</v>
      </c>
      <c r="R17">
        <v>1.6298326793514473</v>
      </c>
    </row>
    <row r="18" spans="1:18" ht="15.5">
      <c r="A18" s="31" t="s">
        <v>692</v>
      </c>
      <c r="B18" s="32" t="s">
        <v>693</v>
      </c>
      <c r="C18" s="32" t="s">
        <v>716</v>
      </c>
      <c r="D18" s="33" t="s">
        <v>717</v>
      </c>
      <c r="E18" s="32" t="s">
        <v>732</v>
      </c>
      <c r="F18" s="33" t="s">
        <v>733</v>
      </c>
      <c r="G18" s="11">
        <v>432.66666666666703</v>
      </c>
      <c r="H18">
        <v>0.5</v>
      </c>
      <c r="I18">
        <v>0.1</v>
      </c>
      <c r="J18">
        <v>0.9</v>
      </c>
      <c r="K18" s="1">
        <v>0.1</v>
      </c>
      <c r="L18" s="1"/>
      <c r="M18">
        <v>65</v>
      </c>
      <c r="N18">
        <v>66</v>
      </c>
      <c r="O18">
        <v>59</v>
      </c>
      <c r="P18">
        <v>7</v>
      </c>
      <c r="Q18">
        <v>11</v>
      </c>
      <c r="R18">
        <v>0.22032723772858537</v>
      </c>
    </row>
    <row r="19" spans="1:18" ht="15.5">
      <c r="A19" s="31" t="s">
        <v>692</v>
      </c>
      <c r="B19" s="32" t="s">
        <v>693</v>
      </c>
      <c r="C19" s="32" t="s">
        <v>716</v>
      </c>
      <c r="D19" s="33" t="s">
        <v>717</v>
      </c>
      <c r="E19" s="32" t="s">
        <v>734</v>
      </c>
      <c r="F19" s="33" t="s">
        <v>735</v>
      </c>
      <c r="G19" s="11">
        <v>407.33333333333297</v>
      </c>
      <c r="H19">
        <v>0.5</v>
      </c>
      <c r="I19">
        <v>0.1</v>
      </c>
      <c r="J19">
        <v>0.9</v>
      </c>
      <c r="K19" s="1">
        <v>0.1</v>
      </c>
      <c r="L19" s="1"/>
      <c r="M19">
        <v>64</v>
      </c>
      <c r="N19">
        <v>66</v>
      </c>
      <c r="O19">
        <v>58</v>
      </c>
      <c r="P19">
        <v>8</v>
      </c>
      <c r="Q19">
        <v>11</v>
      </c>
      <c r="R19">
        <v>0.20742672149794364</v>
      </c>
    </row>
    <row r="20" spans="1:18" ht="15.5">
      <c r="A20" s="31" t="s">
        <v>692</v>
      </c>
      <c r="B20" s="32" t="s">
        <v>693</v>
      </c>
      <c r="C20" s="32" t="s">
        <v>716</v>
      </c>
      <c r="D20" s="33" t="s">
        <v>717</v>
      </c>
      <c r="E20" s="32" t="s">
        <v>736</v>
      </c>
      <c r="F20" s="33" t="s">
        <v>737</v>
      </c>
      <c r="G20" s="11">
        <v>0</v>
      </c>
      <c r="H20">
        <v>0.5</v>
      </c>
      <c r="I20">
        <v>0.1</v>
      </c>
      <c r="J20">
        <v>0.9</v>
      </c>
      <c r="K20" s="1">
        <v>0.1</v>
      </c>
      <c r="L20" s="1"/>
      <c r="M20">
        <v>0</v>
      </c>
      <c r="N20">
        <v>0</v>
      </c>
      <c r="O20">
        <v>0</v>
      </c>
      <c r="P20">
        <v>0</v>
      </c>
      <c r="Q20">
        <v>0</v>
      </c>
      <c r="R20" t="e">
        <v>#DIV/0!</v>
      </c>
    </row>
    <row r="21" spans="1:18" ht="15.5">
      <c r="A21" s="31" t="s">
        <v>692</v>
      </c>
      <c r="B21" s="32" t="s">
        <v>693</v>
      </c>
      <c r="C21" s="32" t="s">
        <v>738</v>
      </c>
      <c r="D21" s="33" t="s">
        <v>739</v>
      </c>
      <c r="E21" s="32" t="s">
        <v>740</v>
      </c>
      <c r="F21" s="33" t="s">
        <v>741</v>
      </c>
      <c r="G21" s="11">
        <v>2436.5</v>
      </c>
      <c r="H21">
        <v>0.5</v>
      </c>
      <c r="I21">
        <v>0.1</v>
      </c>
      <c r="J21">
        <v>0.9</v>
      </c>
      <c r="K21" s="1">
        <v>0.1</v>
      </c>
      <c r="L21" s="1"/>
      <c r="M21">
        <v>73</v>
      </c>
      <c r="N21">
        <v>78</v>
      </c>
      <c r="O21">
        <v>66</v>
      </c>
      <c r="P21">
        <v>12</v>
      </c>
      <c r="Q21">
        <v>13</v>
      </c>
      <c r="R21">
        <v>1.0498578514844155</v>
      </c>
    </row>
    <row r="22" spans="1:18" ht="15.5">
      <c r="A22" s="31" t="s">
        <v>692</v>
      </c>
      <c r="B22" s="32" t="s">
        <v>693</v>
      </c>
      <c r="C22" s="32" t="s">
        <v>738</v>
      </c>
      <c r="D22" s="33" t="s">
        <v>739</v>
      </c>
      <c r="E22" s="32" t="s">
        <v>742</v>
      </c>
      <c r="F22" s="33" t="s">
        <v>743</v>
      </c>
      <c r="G22" s="11">
        <v>1820.3333333333301</v>
      </c>
      <c r="H22">
        <v>0.5</v>
      </c>
      <c r="I22">
        <v>0.1</v>
      </c>
      <c r="J22">
        <v>0.9</v>
      </c>
      <c r="K22" s="1">
        <v>0.1</v>
      </c>
      <c r="L22" s="1"/>
      <c r="M22">
        <v>72</v>
      </c>
      <c r="N22">
        <v>72</v>
      </c>
      <c r="O22">
        <v>65</v>
      </c>
      <c r="P22">
        <v>7</v>
      </c>
      <c r="Q22">
        <v>12</v>
      </c>
      <c r="R22">
        <v>0.84972248957330621</v>
      </c>
    </row>
    <row r="23" spans="1:18" ht="15.5">
      <c r="A23" s="31" t="s">
        <v>692</v>
      </c>
      <c r="B23" s="32" t="s">
        <v>693</v>
      </c>
      <c r="C23" s="32" t="s">
        <v>738</v>
      </c>
      <c r="D23" s="33" t="s">
        <v>739</v>
      </c>
      <c r="E23" s="32" t="s">
        <v>744</v>
      </c>
      <c r="F23" s="33" t="s">
        <v>745</v>
      </c>
      <c r="G23" s="11">
        <v>399</v>
      </c>
      <c r="H23">
        <v>0.5</v>
      </c>
      <c r="I23">
        <v>0.1</v>
      </c>
      <c r="J23">
        <v>0.9</v>
      </c>
      <c r="K23" s="1">
        <v>0.1</v>
      </c>
      <c r="L23" s="1"/>
      <c r="M23">
        <v>64</v>
      </c>
      <c r="N23">
        <v>66</v>
      </c>
      <c r="O23">
        <v>58</v>
      </c>
      <c r="P23">
        <v>8</v>
      </c>
      <c r="Q23">
        <v>11</v>
      </c>
      <c r="R23">
        <v>0.20318313063260129</v>
      </c>
    </row>
    <row r="24" spans="1:18" ht="15.5">
      <c r="A24" s="31" t="s">
        <v>692</v>
      </c>
      <c r="B24" s="32" t="s">
        <v>693</v>
      </c>
      <c r="C24" s="32" t="s">
        <v>738</v>
      </c>
      <c r="D24" s="33" t="s">
        <v>739</v>
      </c>
      <c r="E24" s="32" t="s">
        <v>746</v>
      </c>
      <c r="F24" s="33" t="s">
        <v>747</v>
      </c>
      <c r="G24" s="11">
        <v>2594.1666666666702</v>
      </c>
      <c r="H24">
        <v>0.5</v>
      </c>
      <c r="I24">
        <v>0.1</v>
      </c>
      <c r="J24">
        <v>0.9</v>
      </c>
      <c r="K24" s="1">
        <v>0.1</v>
      </c>
      <c r="L24" s="1"/>
      <c r="M24">
        <v>73</v>
      </c>
      <c r="N24">
        <v>78</v>
      </c>
      <c r="O24">
        <v>66</v>
      </c>
      <c r="P24">
        <v>12</v>
      </c>
      <c r="Q24">
        <v>13</v>
      </c>
      <c r="R24">
        <v>1.1177944769378856</v>
      </c>
    </row>
    <row r="25" spans="1:18" ht="15.5">
      <c r="A25" s="31" t="s">
        <v>692</v>
      </c>
      <c r="B25" s="32" t="s">
        <v>693</v>
      </c>
      <c r="C25" s="32" t="s">
        <v>738</v>
      </c>
      <c r="D25" s="33" t="s">
        <v>739</v>
      </c>
      <c r="E25" s="32" t="s">
        <v>748</v>
      </c>
      <c r="F25" s="33" t="s">
        <v>749</v>
      </c>
      <c r="G25" s="11">
        <v>0</v>
      </c>
      <c r="H25">
        <v>0.5</v>
      </c>
      <c r="I25">
        <v>0.1</v>
      </c>
      <c r="J25">
        <v>0.9</v>
      </c>
      <c r="K25" s="1">
        <v>0.1</v>
      </c>
      <c r="L25" s="1"/>
      <c r="M25">
        <v>0</v>
      </c>
      <c r="N25">
        <v>0</v>
      </c>
      <c r="O25">
        <v>0</v>
      </c>
      <c r="P25">
        <v>0</v>
      </c>
      <c r="Q25">
        <v>0</v>
      </c>
      <c r="R25" t="e">
        <v>#DIV/0!</v>
      </c>
    </row>
    <row r="26" spans="1:18" ht="15.5">
      <c r="A26" s="31" t="s">
        <v>692</v>
      </c>
      <c r="B26" s="32" t="s">
        <v>693</v>
      </c>
      <c r="C26" s="32" t="s">
        <v>738</v>
      </c>
      <c r="D26" s="33" t="s">
        <v>739</v>
      </c>
      <c r="E26" s="32" t="s">
        <v>750</v>
      </c>
      <c r="F26" s="33" t="s">
        <v>751</v>
      </c>
      <c r="G26" s="11">
        <v>2839.6666666666702</v>
      </c>
      <c r="H26">
        <v>0.5</v>
      </c>
      <c r="I26">
        <v>0.1</v>
      </c>
      <c r="J26">
        <v>0.9</v>
      </c>
      <c r="K26" s="1">
        <v>0.1</v>
      </c>
      <c r="L26" s="1"/>
      <c r="M26">
        <v>73</v>
      </c>
      <c r="N26">
        <v>78</v>
      </c>
      <c r="O26">
        <v>66</v>
      </c>
      <c r="P26">
        <v>12</v>
      </c>
      <c r="Q26">
        <v>13</v>
      </c>
      <c r="R26">
        <v>1.2235774043088783</v>
      </c>
    </row>
    <row r="27" spans="1:18" ht="15.5">
      <c r="A27" s="31" t="s">
        <v>692</v>
      </c>
      <c r="B27" s="32" t="s">
        <v>693</v>
      </c>
      <c r="C27" s="32" t="s">
        <v>738</v>
      </c>
      <c r="D27" s="33" t="s">
        <v>739</v>
      </c>
      <c r="E27" s="32" t="s">
        <v>752</v>
      </c>
      <c r="F27" s="33" t="s">
        <v>753</v>
      </c>
      <c r="G27" s="11">
        <v>3698.1666666666702</v>
      </c>
      <c r="H27">
        <v>0.5</v>
      </c>
      <c r="I27">
        <v>0.1</v>
      </c>
      <c r="J27">
        <v>0.9</v>
      </c>
      <c r="K27" s="1">
        <v>0.1</v>
      </c>
      <c r="L27" s="1"/>
      <c r="M27">
        <v>73</v>
      </c>
      <c r="N27">
        <v>78</v>
      </c>
      <c r="O27">
        <v>66</v>
      </c>
      <c r="P27">
        <v>12</v>
      </c>
      <c r="Q27">
        <v>13</v>
      </c>
      <c r="R27">
        <v>1.593494484341454</v>
      </c>
    </row>
    <row r="28" spans="1:18" ht="15.5">
      <c r="A28" s="31" t="s">
        <v>692</v>
      </c>
      <c r="B28" s="32" t="s">
        <v>693</v>
      </c>
      <c r="C28" s="32" t="s">
        <v>738</v>
      </c>
      <c r="D28" s="33" t="s">
        <v>739</v>
      </c>
      <c r="E28" s="32" t="s">
        <v>754</v>
      </c>
      <c r="F28" s="33" t="s">
        <v>755</v>
      </c>
      <c r="G28" s="11">
        <v>2760.5</v>
      </c>
      <c r="H28">
        <v>0.5</v>
      </c>
      <c r="I28">
        <v>0.1</v>
      </c>
      <c r="J28">
        <v>0.9</v>
      </c>
      <c r="K28" s="1">
        <v>0.1</v>
      </c>
      <c r="L28" s="1"/>
      <c r="M28">
        <v>73</v>
      </c>
      <c r="N28">
        <v>78</v>
      </c>
      <c r="O28">
        <v>66</v>
      </c>
      <c r="P28">
        <v>12</v>
      </c>
      <c r="Q28">
        <v>13</v>
      </c>
      <c r="R28">
        <v>1.189465462352854</v>
      </c>
    </row>
    <row r="29" spans="1:18" ht="15.5">
      <c r="A29" s="31" t="s">
        <v>692</v>
      </c>
      <c r="B29" s="32" t="s">
        <v>693</v>
      </c>
      <c r="C29" s="32" t="s">
        <v>738</v>
      </c>
      <c r="D29" s="33" t="s">
        <v>739</v>
      </c>
      <c r="E29" s="32" t="s">
        <v>756</v>
      </c>
      <c r="F29" s="33" t="s">
        <v>757</v>
      </c>
      <c r="G29" s="11">
        <v>4101.1666666666697</v>
      </c>
      <c r="H29">
        <v>0.5</v>
      </c>
      <c r="I29">
        <v>0.1</v>
      </c>
      <c r="J29">
        <v>0.9</v>
      </c>
      <c r="K29" s="1">
        <v>0.1</v>
      </c>
      <c r="L29" s="1"/>
      <c r="M29">
        <v>74</v>
      </c>
      <c r="N29">
        <v>78</v>
      </c>
      <c r="O29">
        <v>67</v>
      </c>
      <c r="P29">
        <v>11</v>
      </c>
      <c r="Q29">
        <v>13</v>
      </c>
      <c r="R29">
        <v>1.7671422225512707</v>
      </c>
    </row>
    <row r="30" spans="1:18" ht="15.5">
      <c r="A30" s="31" t="s">
        <v>692</v>
      </c>
      <c r="B30" s="32" t="s">
        <v>693</v>
      </c>
      <c r="C30" s="32" t="s">
        <v>738</v>
      </c>
      <c r="D30" s="33" t="s">
        <v>739</v>
      </c>
      <c r="E30" s="32" t="s">
        <v>758</v>
      </c>
      <c r="F30" s="33" t="s">
        <v>759</v>
      </c>
      <c r="G30" s="11">
        <v>6069.6666666666697</v>
      </c>
      <c r="H30">
        <v>0.5</v>
      </c>
      <c r="I30">
        <v>0.1</v>
      </c>
      <c r="J30">
        <v>0.9</v>
      </c>
      <c r="K30" s="1">
        <v>0.1</v>
      </c>
      <c r="L30" s="1"/>
      <c r="M30">
        <v>74</v>
      </c>
      <c r="N30">
        <v>78</v>
      </c>
      <c r="O30">
        <v>67</v>
      </c>
      <c r="P30">
        <v>11</v>
      </c>
      <c r="Q30">
        <v>13</v>
      </c>
      <c r="R30">
        <v>2.6153446361146084</v>
      </c>
    </row>
    <row r="31" spans="1:18" ht="15.5">
      <c r="A31" s="31" t="s">
        <v>692</v>
      </c>
      <c r="B31" s="32" t="s">
        <v>693</v>
      </c>
      <c r="C31" s="32" t="s">
        <v>738</v>
      </c>
      <c r="D31" s="33" t="s">
        <v>739</v>
      </c>
      <c r="E31" s="32" t="s">
        <v>760</v>
      </c>
      <c r="F31" s="33" t="s">
        <v>761</v>
      </c>
      <c r="G31" s="11">
        <v>1310.3333333333301</v>
      </c>
      <c r="H31">
        <v>0.5</v>
      </c>
      <c r="I31">
        <v>0.1</v>
      </c>
      <c r="J31">
        <v>0.9</v>
      </c>
      <c r="K31" s="1">
        <v>0.1</v>
      </c>
      <c r="L31" s="1"/>
      <c r="M31">
        <v>71</v>
      </c>
      <c r="N31">
        <v>72</v>
      </c>
      <c r="O31">
        <v>64</v>
      </c>
      <c r="P31">
        <v>8</v>
      </c>
      <c r="Q31">
        <v>12</v>
      </c>
      <c r="R31">
        <v>0.61165704202758908</v>
      </c>
    </row>
    <row r="32" spans="1:18" ht="15.5">
      <c r="A32" s="31" t="s">
        <v>692</v>
      </c>
      <c r="B32" s="32" t="s">
        <v>693</v>
      </c>
      <c r="C32" s="32" t="s">
        <v>762</v>
      </c>
      <c r="D32" s="33" t="s">
        <v>763</v>
      </c>
      <c r="E32" s="32" t="s">
        <v>764</v>
      </c>
      <c r="F32" s="33" t="s">
        <v>765</v>
      </c>
      <c r="G32" s="11">
        <v>0</v>
      </c>
      <c r="H32">
        <v>0.5</v>
      </c>
      <c r="I32">
        <v>0.1</v>
      </c>
      <c r="J32">
        <v>0.9</v>
      </c>
      <c r="K32" s="1">
        <v>0.1</v>
      </c>
      <c r="L32" s="1"/>
      <c r="M32">
        <v>0</v>
      </c>
      <c r="N32">
        <v>0</v>
      </c>
      <c r="O32">
        <v>0</v>
      </c>
      <c r="P32">
        <v>0</v>
      </c>
      <c r="Q32">
        <v>0</v>
      </c>
      <c r="R32" t="e">
        <v>#DIV/0!</v>
      </c>
    </row>
    <row r="33" spans="1:18" ht="15.5">
      <c r="A33" s="31" t="s">
        <v>692</v>
      </c>
      <c r="B33" s="32" t="s">
        <v>693</v>
      </c>
      <c r="C33" s="32" t="s">
        <v>762</v>
      </c>
      <c r="D33" s="33" t="s">
        <v>763</v>
      </c>
      <c r="E33" s="32" t="s">
        <v>766</v>
      </c>
      <c r="F33" s="33" t="s">
        <v>767</v>
      </c>
      <c r="G33" s="11">
        <v>0</v>
      </c>
      <c r="H33">
        <v>0.5</v>
      </c>
      <c r="I33">
        <v>0.1</v>
      </c>
      <c r="J33">
        <v>0.9</v>
      </c>
      <c r="K33" s="1">
        <v>0.1</v>
      </c>
      <c r="L33" s="1"/>
      <c r="M33">
        <v>0</v>
      </c>
      <c r="N33">
        <v>0</v>
      </c>
      <c r="O33">
        <v>0</v>
      </c>
      <c r="P33">
        <v>0</v>
      </c>
      <c r="Q33">
        <v>0</v>
      </c>
      <c r="R33" t="e">
        <v>#DIV/0!</v>
      </c>
    </row>
    <row r="34" spans="1:18" ht="15.5">
      <c r="A34" s="31" t="s">
        <v>692</v>
      </c>
      <c r="B34" s="32" t="s">
        <v>693</v>
      </c>
      <c r="C34" s="32" t="s">
        <v>762</v>
      </c>
      <c r="D34" s="33" t="s">
        <v>763</v>
      </c>
      <c r="E34" s="32" t="s">
        <v>768</v>
      </c>
      <c r="F34" s="33" t="s">
        <v>769</v>
      </c>
      <c r="G34" s="11">
        <v>0</v>
      </c>
      <c r="H34">
        <v>0.5</v>
      </c>
      <c r="I34">
        <v>0.1</v>
      </c>
      <c r="J34">
        <v>0.9</v>
      </c>
      <c r="K34" s="1">
        <v>0.1</v>
      </c>
      <c r="L34" s="1"/>
      <c r="M34">
        <v>0</v>
      </c>
      <c r="N34">
        <v>0</v>
      </c>
      <c r="O34">
        <v>0</v>
      </c>
      <c r="P34">
        <v>0</v>
      </c>
      <c r="Q34">
        <v>0</v>
      </c>
      <c r="R34" t="e">
        <v>#DIV/0!</v>
      </c>
    </row>
    <row r="35" spans="1:18" ht="15.5">
      <c r="A35" s="31" t="s">
        <v>692</v>
      </c>
      <c r="B35" s="32" t="s">
        <v>693</v>
      </c>
      <c r="C35" s="32" t="s">
        <v>762</v>
      </c>
      <c r="D35" s="33" t="s">
        <v>763</v>
      </c>
      <c r="E35" s="32" t="s">
        <v>770</v>
      </c>
      <c r="F35" s="33" t="s">
        <v>771</v>
      </c>
      <c r="G35" s="11">
        <v>0</v>
      </c>
      <c r="H35">
        <v>0.5</v>
      </c>
      <c r="I35">
        <v>0.1</v>
      </c>
      <c r="J35">
        <v>0.9</v>
      </c>
      <c r="K35" s="1">
        <v>0.1</v>
      </c>
      <c r="L35" s="1"/>
      <c r="M35">
        <v>0</v>
      </c>
      <c r="N35">
        <v>0</v>
      </c>
      <c r="O35">
        <v>0</v>
      </c>
      <c r="P35">
        <v>0</v>
      </c>
      <c r="Q35">
        <v>0</v>
      </c>
      <c r="R35" t="e">
        <v>#DIV/0!</v>
      </c>
    </row>
    <row r="36" spans="1:18" ht="15.5">
      <c r="A36" s="31" t="s">
        <v>692</v>
      </c>
      <c r="B36" s="32" t="s">
        <v>693</v>
      </c>
      <c r="C36" s="32" t="s">
        <v>762</v>
      </c>
      <c r="D36" s="33" t="s">
        <v>763</v>
      </c>
      <c r="E36" s="32" t="s">
        <v>772</v>
      </c>
      <c r="F36" s="33" t="s">
        <v>773</v>
      </c>
      <c r="G36" s="11">
        <v>0</v>
      </c>
      <c r="H36">
        <v>0.5</v>
      </c>
      <c r="I36">
        <v>0.1</v>
      </c>
      <c r="J36">
        <v>0.9</v>
      </c>
      <c r="K36" s="1">
        <v>0.1</v>
      </c>
      <c r="L36" s="1"/>
      <c r="M36">
        <v>0</v>
      </c>
      <c r="N36">
        <v>0</v>
      </c>
      <c r="O36">
        <v>0</v>
      </c>
      <c r="P36">
        <v>0</v>
      </c>
      <c r="Q36">
        <v>0</v>
      </c>
      <c r="R36" t="e">
        <v>#DIV/0!</v>
      </c>
    </row>
    <row r="37" spans="1:18" ht="15.5">
      <c r="A37" s="31" t="s">
        <v>692</v>
      </c>
      <c r="B37" s="32" t="s">
        <v>693</v>
      </c>
      <c r="C37" s="32" t="s">
        <v>762</v>
      </c>
      <c r="D37" s="33" t="s">
        <v>763</v>
      </c>
      <c r="E37" s="32" t="s">
        <v>774</v>
      </c>
      <c r="F37" s="33" t="s">
        <v>775</v>
      </c>
      <c r="G37" s="11">
        <v>0</v>
      </c>
      <c r="H37">
        <v>0.5</v>
      </c>
      <c r="I37">
        <v>0.1</v>
      </c>
      <c r="J37">
        <v>0.9</v>
      </c>
      <c r="K37" s="1">
        <v>0.1</v>
      </c>
      <c r="L37" s="1"/>
      <c r="M37">
        <v>0</v>
      </c>
      <c r="N37">
        <v>0</v>
      </c>
      <c r="O37">
        <v>0</v>
      </c>
      <c r="P37">
        <v>0</v>
      </c>
      <c r="Q37">
        <v>0</v>
      </c>
      <c r="R37" t="e">
        <v>#DIV/0!</v>
      </c>
    </row>
    <row r="38" spans="1:18" ht="15.5">
      <c r="A38" s="31" t="s">
        <v>692</v>
      </c>
      <c r="B38" s="32" t="s">
        <v>693</v>
      </c>
      <c r="C38" s="32" t="s">
        <v>762</v>
      </c>
      <c r="D38" s="33" t="s">
        <v>763</v>
      </c>
      <c r="E38" s="32" t="s">
        <v>776</v>
      </c>
      <c r="F38" s="33" t="s">
        <v>777</v>
      </c>
      <c r="G38" s="11">
        <v>0</v>
      </c>
      <c r="H38">
        <v>0.5</v>
      </c>
      <c r="I38">
        <v>0.1</v>
      </c>
      <c r="J38">
        <v>0.9</v>
      </c>
      <c r="K38" s="1">
        <v>0.1</v>
      </c>
      <c r="L38" s="1"/>
      <c r="M38">
        <v>0</v>
      </c>
      <c r="N38">
        <v>0</v>
      </c>
      <c r="O38">
        <v>0</v>
      </c>
      <c r="P38">
        <v>0</v>
      </c>
      <c r="Q38">
        <v>0</v>
      </c>
      <c r="R38" t="e">
        <v>#DIV/0!</v>
      </c>
    </row>
    <row r="39" spans="1:18" ht="15.5">
      <c r="A39" s="31" t="s">
        <v>692</v>
      </c>
      <c r="B39" s="32" t="s">
        <v>693</v>
      </c>
      <c r="C39" s="32" t="s">
        <v>778</v>
      </c>
      <c r="D39" s="33" t="s">
        <v>779</v>
      </c>
      <c r="E39" s="32" t="s">
        <v>780</v>
      </c>
      <c r="F39" s="33" t="s">
        <v>781</v>
      </c>
      <c r="G39" s="11">
        <v>3237</v>
      </c>
      <c r="H39">
        <v>0.5</v>
      </c>
      <c r="I39">
        <v>0.1</v>
      </c>
      <c r="J39">
        <v>0.9</v>
      </c>
      <c r="K39" s="1">
        <v>0.1</v>
      </c>
      <c r="L39" s="1"/>
      <c r="M39">
        <v>73</v>
      </c>
      <c r="N39">
        <v>78</v>
      </c>
      <c r="O39">
        <v>66</v>
      </c>
      <c r="P39">
        <v>12</v>
      </c>
      <c r="Q39">
        <v>13</v>
      </c>
      <c r="R39">
        <v>1.3947834456207893</v>
      </c>
    </row>
    <row r="40" spans="1:18" ht="15.5">
      <c r="A40" s="31" t="s">
        <v>692</v>
      </c>
      <c r="B40" s="32" t="s">
        <v>693</v>
      </c>
      <c r="C40" s="32" t="s">
        <v>778</v>
      </c>
      <c r="D40" s="33" t="s">
        <v>779</v>
      </c>
      <c r="E40" s="32" t="s">
        <v>782</v>
      </c>
      <c r="F40" s="33" t="s">
        <v>783</v>
      </c>
      <c r="G40" s="11">
        <v>3203</v>
      </c>
      <c r="H40">
        <v>0.5</v>
      </c>
      <c r="I40">
        <v>0.1</v>
      </c>
      <c r="J40">
        <v>0.9</v>
      </c>
      <c r="K40" s="1">
        <v>0.1</v>
      </c>
      <c r="L40" s="1"/>
      <c r="M40">
        <v>73</v>
      </c>
      <c r="N40">
        <v>78</v>
      </c>
      <c r="O40">
        <v>66</v>
      </c>
      <c r="P40">
        <v>12</v>
      </c>
      <c r="Q40">
        <v>13</v>
      </c>
      <c r="R40">
        <v>1.3801332642333604</v>
      </c>
    </row>
    <row r="41" spans="1:18" ht="15.5">
      <c r="A41" s="31" t="s">
        <v>692</v>
      </c>
      <c r="B41" s="32" t="s">
        <v>693</v>
      </c>
      <c r="C41" s="32" t="s">
        <v>778</v>
      </c>
      <c r="D41" s="33" t="s">
        <v>779</v>
      </c>
      <c r="E41" s="32" t="s">
        <v>784</v>
      </c>
      <c r="F41" s="33" t="s">
        <v>785</v>
      </c>
      <c r="G41" s="11">
        <v>0</v>
      </c>
      <c r="H41">
        <v>0.5</v>
      </c>
      <c r="I41">
        <v>0.1</v>
      </c>
      <c r="J41">
        <v>0.9</v>
      </c>
      <c r="K41" s="1">
        <v>0.1</v>
      </c>
      <c r="L41" s="1"/>
      <c r="M41">
        <v>0</v>
      </c>
      <c r="N41">
        <v>0</v>
      </c>
      <c r="O41">
        <v>0</v>
      </c>
      <c r="P41">
        <v>0</v>
      </c>
      <c r="Q41">
        <v>0</v>
      </c>
      <c r="R41" t="e">
        <v>#DIV/0!</v>
      </c>
    </row>
    <row r="42" spans="1:18" ht="15.5">
      <c r="A42" s="31" t="s">
        <v>692</v>
      </c>
      <c r="B42" s="32" t="s">
        <v>693</v>
      </c>
      <c r="C42" s="32" t="s">
        <v>786</v>
      </c>
      <c r="D42" s="33" t="s">
        <v>787</v>
      </c>
      <c r="E42" s="32" t="s">
        <v>788</v>
      </c>
      <c r="F42" s="33" t="s">
        <v>789</v>
      </c>
      <c r="G42" s="11">
        <v>0</v>
      </c>
      <c r="H42">
        <v>0.5</v>
      </c>
      <c r="I42">
        <v>0.1</v>
      </c>
      <c r="J42">
        <v>0.9</v>
      </c>
      <c r="K42" s="1">
        <v>0.1</v>
      </c>
      <c r="L42" s="1"/>
      <c r="M42">
        <v>0</v>
      </c>
      <c r="N42">
        <v>0</v>
      </c>
      <c r="O42">
        <v>0</v>
      </c>
      <c r="P42">
        <v>0</v>
      </c>
      <c r="Q42">
        <v>0</v>
      </c>
      <c r="R42" t="e">
        <v>#DIV/0!</v>
      </c>
    </row>
    <row r="43" spans="1:18" ht="15.5">
      <c r="A43" s="31" t="s">
        <v>692</v>
      </c>
      <c r="B43" s="32" t="s">
        <v>693</v>
      </c>
      <c r="C43" s="32" t="s">
        <v>786</v>
      </c>
      <c r="D43" s="33" t="s">
        <v>787</v>
      </c>
      <c r="E43" s="32" t="s">
        <v>790</v>
      </c>
      <c r="F43" s="33" t="s">
        <v>791</v>
      </c>
      <c r="G43" s="11">
        <v>0</v>
      </c>
      <c r="H43">
        <v>0.5</v>
      </c>
      <c r="I43">
        <v>0.1</v>
      </c>
      <c r="J43">
        <v>0.9</v>
      </c>
      <c r="K43" s="1">
        <v>0.1</v>
      </c>
      <c r="L43" s="1"/>
      <c r="M43">
        <v>0</v>
      </c>
      <c r="N43">
        <v>0</v>
      </c>
      <c r="O43">
        <v>0</v>
      </c>
      <c r="P43">
        <v>0</v>
      </c>
      <c r="Q43">
        <v>0</v>
      </c>
      <c r="R43" t="e">
        <v>#DIV/0!</v>
      </c>
    </row>
    <row r="44" spans="1:18" ht="15.5">
      <c r="A44" s="31" t="s">
        <v>692</v>
      </c>
      <c r="B44" s="32" t="s">
        <v>693</v>
      </c>
      <c r="C44" s="32" t="s">
        <v>786</v>
      </c>
      <c r="D44" s="33" t="s">
        <v>787</v>
      </c>
      <c r="E44" s="32" t="s">
        <v>792</v>
      </c>
      <c r="F44" s="33" t="s">
        <v>793</v>
      </c>
      <c r="G44" s="11">
        <v>595</v>
      </c>
      <c r="H44">
        <v>0.5</v>
      </c>
      <c r="I44">
        <v>0.1</v>
      </c>
      <c r="J44">
        <v>0.9</v>
      </c>
      <c r="K44" s="1">
        <v>0.1</v>
      </c>
      <c r="L44" s="1"/>
      <c r="M44">
        <v>68</v>
      </c>
      <c r="N44">
        <v>72</v>
      </c>
      <c r="O44">
        <v>62</v>
      </c>
      <c r="P44">
        <v>10</v>
      </c>
      <c r="Q44">
        <v>12</v>
      </c>
      <c r="R44">
        <v>0.2777430221366699</v>
      </c>
    </row>
    <row r="45" spans="1:18" ht="15.5">
      <c r="A45" s="31" t="s">
        <v>692</v>
      </c>
      <c r="B45" s="32" t="s">
        <v>693</v>
      </c>
      <c r="C45" s="32" t="s">
        <v>786</v>
      </c>
      <c r="D45" s="33" t="s">
        <v>787</v>
      </c>
      <c r="E45" s="32" t="s">
        <v>794</v>
      </c>
      <c r="F45" s="33" t="s">
        <v>795</v>
      </c>
      <c r="G45" s="11">
        <v>1928.8333333333301</v>
      </c>
      <c r="H45">
        <v>0.5</v>
      </c>
      <c r="I45">
        <v>0.1</v>
      </c>
      <c r="J45">
        <v>0.9</v>
      </c>
      <c r="K45" s="1">
        <v>0.1</v>
      </c>
      <c r="L45" s="1"/>
      <c r="M45">
        <v>72</v>
      </c>
      <c r="N45">
        <v>72</v>
      </c>
      <c r="O45">
        <v>65</v>
      </c>
      <c r="P45">
        <v>7</v>
      </c>
      <c r="Q45">
        <v>12</v>
      </c>
      <c r="R45">
        <v>0.90036974655116941</v>
      </c>
    </row>
    <row r="46" spans="1:18" ht="15.5">
      <c r="A46" s="31" t="s">
        <v>692</v>
      </c>
      <c r="B46" s="32" t="s">
        <v>693</v>
      </c>
      <c r="C46" s="32" t="s">
        <v>786</v>
      </c>
      <c r="D46" s="33" t="s">
        <v>787</v>
      </c>
      <c r="E46" s="32" t="s">
        <v>796</v>
      </c>
      <c r="F46" s="33" t="s">
        <v>797</v>
      </c>
      <c r="G46" s="11">
        <v>184.166666666667</v>
      </c>
      <c r="H46">
        <v>0.5</v>
      </c>
      <c r="I46">
        <v>0.1</v>
      </c>
      <c r="J46">
        <v>0.9</v>
      </c>
      <c r="K46" s="1">
        <v>0.1</v>
      </c>
      <c r="L46" s="1"/>
      <c r="M46">
        <v>55</v>
      </c>
      <c r="N46">
        <v>60</v>
      </c>
      <c r="O46">
        <v>50</v>
      </c>
      <c r="P46">
        <v>10</v>
      </c>
      <c r="Q46">
        <v>10</v>
      </c>
      <c r="R46">
        <v>0.10316169393647756</v>
      </c>
    </row>
    <row r="47" spans="1:18" ht="15.5">
      <c r="A47" s="31" t="s">
        <v>692</v>
      </c>
      <c r="B47" s="32" t="s">
        <v>693</v>
      </c>
      <c r="C47" s="32" t="s">
        <v>786</v>
      </c>
      <c r="D47" s="33" t="s">
        <v>787</v>
      </c>
      <c r="E47" s="32" t="s">
        <v>798</v>
      </c>
      <c r="F47" s="33" t="s">
        <v>799</v>
      </c>
      <c r="G47" s="11">
        <v>651</v>
      </c>
      <c r="H47">
        <v>0.5</v>
      </c>
      <c r="I47">
        <v>0.1</v>
      </c>
      <c r="J47">
        <v>0.9</v>
      </c>
      <c r="K47" s="1">
        <v>0.1</v>
      </c>
      <c r="L47" s="1"/>
      <c r="M47">
        <v>68</v>
      </c>
      <c r="N47">
        <v>72</v>
      </c>
      <c r="O47">
        <v>62</v>
      </c>
      <c r="P47">
        <v>10</v>
      </c>
      <c r="Q47">
        <v>12</v>
      </c>
      <c r="R47">
        <v>0.30388354186717997</v>
      </c>
    </row>
    <row r="48" spans="1:18" ht="15.5">
      <c r="A48" s="36" t="s">
        <v>692</v>
      </c>
      <c r="B48" s="37" t="s">
        <v>693</v>
      </c>
      <c r="C48" s="37" t="s">
        <v>786</v>
      </c>
      <c r="D48" s="38" t="s">
        <v>787</v>
      </c>
      <c r="E48" s="37" t="s">
        <v>800</v>
      </c>
      <c r="F48" s="38" t="s">
        <v>801</v>
      </c>
      <c r="G48" s="11">
        <v>0</v>
      </c>
      <c r="H48">
        <v>0.5</v>
      </c>
      <c r="I48">
        <v>0.1</v>
      </c>
      <c r="J48">
        <v>0.9</v>
      </c>
      <c r="K48" s="1">
        <v>0.1</v>
      </c>
      <c r="L48" s="1"/>
      <c r="M48">
        <v>0</v>
      </c>
      <c r="N48">
        <v>0</v>
      </c>
      <c r="O48">
        <v>0</v>
      </c>
      <c r="P48">
        <v>0</v>
      </c>
      <c r="Q48">
        <v>0</v>
      </c>
      <c r="R48" t="e">
        <v>#DIV/0!</v>
      </c>
    </row>
    <row r="49" spans="1:18" ht="15.5">
      <c r="A49" s="41" t="s">
        <v>802</v>
      </c>
      <c r="B49" s="42" t="s">
        <v>803</v>
      </c>
      <c r="C49" s="42" t="s">
        <v>804</v>
      </c>
      <c r="D49" s="42" t="s">
        <v>805</v>
      </c>
      <c r="E49" s="42" t="s">
        <v>804</v>
      </c>
      <c r="F49" s="43"/>
      <c r="G49" s="11">
        <v>2886.5000000000036</v>
      </c>
      <c r="M49">
        <v>73</v>
      </c>
      <c r="N49">
        <v>78</v>
      </c>
      <c r="O49">
        <v>73</v>
      </c>
      <c r="P49">
        <v>5</v>
      </c>
      <c r="Q49">
        <v>13</v>
      </c>
      <c r="R49">
        <v>1.2437573110239151</v>
      </c>
    </row>
    <row r="50" spans="1:18">
      <c r="C50"/>
      <c r="D50"/>
      <c r="E50"/>
      <c r="F50"/>
    </row>
    <row r="51" spans="1:18">
      <c r="C51"/>
      <c r="D51"/>
      <c r="E51"/>
      <c r="F51"/>
    </row>
    <row r="52" spans="1:18">
      <c r="C52"/>
      <c r="D52"/>
      <c r="E52"/>
      <c r="F52"/>
    </row>
    <row r="53" spans="1:18">
      <c r="C53"/>
      <c r="D53"/>
      <c r="E53"/>
      <c r="F53"/>
    </row>
    <row r="54" spans="1:18">
      <c r="C54"/>
      <c r="D54"/>
      <c r="E54"/>
      <c r="F54"/>
    </row>
    <row r="55" spans="1:18">
      <c r="C55"/>
      <c r="D55"/>
      <c r="E55"/>
      <c r="F55"/>
    </row>
    <row r="56" spans="1:18">
      <c r="C56"/>
      <c r="D56"/>
      <c r="E56"/>
      <c r="F56"/>
    </row>
    <row r="57" spans="1:18">
      <c r="C57"/>
      <c r="D57"/>
      <c r="E57"/>
      <c r="F57"/>
    </row>
    <row r="58" spans="1:18">
      <c r="C58"/>
      <c r="D58"/>
      <c r="E58"/>
      <c r="F58"/>
    </row>
    <row r="59" spans="1:18">
      <c r="C59"/>
      <c r="D59"/>
      <c r="E59"/>
      <c r="F59"/>
    </row>
    <row r="60" spans="1:18">
      <c r="C60"/>
      <c r="D60"/>
      <c r="E60"/>
      <c r="F60"/>
    </row>
    <row r="61" spans="1:18">
      <c r="C61"/>
      <c r="D61"/>
      <c r="E61"/>
      <c r="F61"/>
    </row>
    <row r="62" spans="1:18">
      <c r="C62"/>
      <c r="D62"/>
      <c r="E62"/>
      <c r="F62"/>
    </row>
    <row r="63" spans="1:18">
      <c r="C63"/>
      <c r="D63"/>
      <c r="E63"/>
      <c r="F63"/>
    </row>
    <row r="64" spans="1:18">
      <c r="C64"/>
      <c r="D64"/>
      <c r="E64"/>
      <c r="F64"/>
    </row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  <row r="549" customFormat="1"/>
    <row r="550" customFormat="1"/>
    <row r="551" customFormat="1"/>
    <row r="552" customFormat="1"/>
    <row r="553" customFormat="1"/>
    <row r="554" customFormat="1"/>
    <row r="555" customFormat="1"/>
    <row r="556" customFormat="1"/>
    <row r="557" customFormat="1"/>
    <row r="558" customFormat="1"/>
    <row r="559" customFormat="1"/>
    <row r="560" customFormat="1"/>
    <row r="561" customFormat="1"/>
    <row r="562" customFormat="1"/>
    <row r="563" customFormat="1"/>
    <row r="564" customFormat="1"/>
    <row r="565" customFormat="1"/>
    <row r="566" customFormat="1"/>
    <row r="567" customFormat="1"/>
    <row r="568" customFormat="1"/>
    <row r="569" customFormat="1"/>
    <row r="570" customFormat="1"/>
    <row r="571" customFormat="1"/>
    <row r="572" customFormat="1"/>
    <row r="573" customFormat="1"/>
    <row r="574" customFormat="1"/>
    <row r="575" customFormat="1"/>
    <row r="576" customFormat="1"/>
    <row r="577" customFormat="1"/>
    <row r="578" customFormat="1"/>
    <row r="579" customFormat="1"/>
    <row r="580" customFormat="1"/>
    <row r="581" customFormat="1"/>
    <row r="582" customFormat="1"/>
    <row r="583" customFormat="1"/>
    <row r="584" customFormat="1"/>
    <row r="585" customFormat="1"/>
    <row r="586" customFormat="1"/>
    <row r="587" customFormat="1"/>
    <row r="588" customFormat="1"/>
    <row r="589" customFormat="1"/>
    <row r="590" customFormat="1"/>
    <row r="591" customFormat="1"/>
    <row r="592" customFormat="1"/>
    <row r="593" customFormat="1"/>
    <row r="594" customFormat="1"/>
    <row r="595" customFormat="1"/>
    <row r="596" customFormat="1"/>
    <row r="597" customFormat="1"/>
    <row r="598" customFormat="1"/>
    <row r="599" customFormat="1"/>
    <row r="600" customFormat="1"/>
    <row r="601" customFormat="1"/>
    <row r="602" customFormat="1"/>
    <row r="603" customFormat="1"/>
    <row r="604" customFormat="1"/>
    <row r="605" customFormat="1"/>
    <row r="606" customFormat="1"/>
    <row r="607" customFormat="1"/>
    <row r="608" customFormat="1"/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21" customFormat="1"/>
    <row r="622" customFormat="1"/>
    <row r="623" customFormat="1"/>
    <row r="624" customFormat="1"/>
    <row r="625" customFormat="1"/>
    <row r="626" customFormat="1"/>
    <row r="627" customFormat="1"/>
    <row r="628" customFormat="1"/>
    <row r="629" customFormat="1"/>
    <row r="630" customFormat="1"/>
    <row r="631" customFormat="1"/>
    <row r="632" customFormat="1"/>
    <row r="633" customFormat="1"/>
    <row r="634" customFormat="1"/>
    <row r="635" customFormat="1"/>
    <row r="636" customFormat="1"/>
    <row r="637" customFormat="1"/>
    <row r="638" customFormat="1"/>
    <row r="639" customFormat="1"/>
    <row r="640" customFormat="1"/>
    <row r="641" customFormat="1"/>
    <row r="642" customFormat="1"/>
    <row r="643" customFormat="1"/>
    <row r="644" customFormat="1"/>
    <row r="645" customFormat="1"/>
    <row r="646" customFormat="1"/>
    <row r="647" customFormat="1"/>
    <row r="648" customFormat="1"/>
    <row r="649" customFormat="1"/>
    <row r="650" customFormat="1"/>
    <row r="651" customFormat="1"/>
    <row r="652" customFormat="1"/>
    <row r="653" customFormat="1"/>
    <row r="654" customFormat="1"/>
    <row r="655" customFormat="1"/>
    <row r="656" customFormat="1"/>
    <row r="657" customFormat="1"/>
    <row r="658" customFormat="1"/>
    <row r="659" customFormat="1"/>
    <row r="660" customFormat="1"/>
    <row r="661" customFormat="1"/>
    <row r="662" customFormat="1"/>
    <row r="663" customFormat="1"/>
    <row r="664" customFormat="1"/>
    <row r="665" customFormat="1"/>
    <row r="666" customFormat="1"/>
    <row r="667" customFormat="1"/>
    <row r="668" customFormat="1"/>
    <row r="669" customFormat="1"/>
    <row r="670" customFormat="1"/>
    <row r="671" customFormat="1"/>
    <row r="672" customFormat="1"/>
    <row r="673" customFormat="1"/>
    <row r="674" customFormat="1"/>
    <row r="675" customFormat="1"/>
    <row r="676" customFormat="1"/>
    <row r="677" customFormat="1"/>
    <row r="678" customFormat="1"/>
    <row r="679" customFormat="1"/>
    <row r="680" customFormat="1"/>
    <row r="681" customFormat="1"/>
    <row r="682" customFormat="1"/>
    <row r="683" customFormat="1"/>
    <row r="684" customFormat="1"/>
    <row r="685" customFormat="1"/>
    <row r="686" customFormat="1"/>
    <row r="687" customFormat="1"/>
    <row r="688" customFormat="1"/>
    <row r="689" customFormat="1"/>
    <row r="690" customFormat="1"/>
    <row r="691" customFormat="1"/>
    <row r="692" customFormat="1"/>
    <row r="693" customFormat="1"/>
    <row r="694" customFormat="1"/>
    <row r="695" customFormat="1"/>
    <row r="696" customFormat="1"/>
    <row r="697" customFormat="1"/>
    <row r="698" customFormat="1"/>
    <row r="699" customFormat="1"/>
    <row r="700" customFormat="1"/>
    <row r="701" customFormat="1"/>
    <row r="702" customFormat="1"/>
    <row r="703" customFormat="1"/>
    <row r="704" customFormat="1"/>
    <row r="705" customFormat="1"/>
    <row r="706" customFormat="1"/>
    <row r="707" customFormat="1"/>
    <row r="708" customFormat="1"/>
    <row r="709" customFormat="1"/>
    <row r="710" customFormat="1"/>
    <row r="711" customFormat="1"/>
    <row r="712" customFormat="1"/>
    <row r="713" customFormat="1"/>
    <row r="714" customFormat="1"/>
    <row r="715" customFormat="1"/>
    <row r="716" customFormat="1"/>
    <row r="717" customFormat="1"/>
    <row r="718" customFormat="1"/>
    <row r="719" customFormat="1"/>
    <row r="720" customFormat="1"/>
    <row r="721" customFormat="1"/>
    <row r="722" customFormat="1"/>
    <row r="723" customFormat="1"/>
    <row r="724" customFormat="1"/>
    <row r="725" customFormat="1"/>
    <row r="726" customFormat="1"/>
    <row r="727" customFormat="1"/>
    <row r="728" customFormat="1"/>
    <row r="729" customFormat="1"/>
    <row r="730" customFormat="1"/>
    <row r="731" customFormat="1"/>
    <row r="732" customFormat="1"/>
    <row r="733" customFormat="1"/>
    <row r="734" customFormat="1"/>
    <row r="735" customFormat="1"/>
    <row r="736" customFormat="1"/>
    <row r="737" customFormat="1"/>
    <row r="738" customFormat="1"/>
    <row r="739" customFormat="1"/>
    <row r="740" customFormat="1"/>
    <row r="741" customFormat="1"/>
    <row r="742" customFormat="1"/>
    <row r="743" customFormat="1"/>
    <row r="744" customFormat="1"/>
    <row r="745" customFormat="1"/>
    <row r="746" customFormat="1"/>
    <row r="747" customFormat="1"/>
    <row r="748" customFormat="1"/>
    <row r="749" customFormat="1"/>
    <row r="750" customFormat="1"/>
    <row r="751" customFormat="1"/>
    <row r="752" customFormat="1"/>
    <row r="753" customFormat="1"/>
    <row r="754" customFormat="1"/>
    <row r="755" customFormat="1"/>
    <row r="756" customFormat="1"/>
    <row r="757" customFormat="1"/>
    <row r="758" customFormat="1"/>
    <row r="759" customFormat="1"/>
    <row r="760" customFormat="1"/>
    <row r="761" customFormat="1"/>
    <row r="762" customFormat="1"/>
    <row r="763" customFormat="1"/>
    <row r="764" customFormat="1"/>
    <row r="765" customFormat="1"/>
    <row r="766" customFormat="1"/>
    <row r="767" customFormat="1"/>
    <row r="768" customFormat="1"/>
    <row r="769" customFormat="1"/>
    <row r="770" customFormat="1"/>
    <row r="771" customFormat="1"/>
    <row r="772" customFormat="1"/>
    <row r="773" customFormat="1"/>
    <row r="774" customFormat="1"/>
  </sheetData>
  <autoFilter ref="G1:R48" xr:uid="{28E3EC67-C13B-4331-A28E-49C922A2FD2E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B46E3-F44F-41C0-9A5F-168A55575150}">
  <dimension ref="A1:X777"/>
  <sheetViews>
    <sheetView zoomScale="82" workbookViewId="0">
      <pane xSplit="6" topLeftCell="G1" activePane="topRight" state="frozen"/>
      <selection pane="topRight" activeCell="N19" sqref="N19"/>
    </sheetView>
  </sheetViews>
  <sheetFormatPr defaultRowHeight="13"/>
  <cols>
    <col min="1" max="1" width="19.44140625" customWidth="1"/>
    <col min="2" max="2" width="26.6640625" customWidth="1"/>
    <col min="3" max="3" width="24.109375" style="2" customWidth="1"/>
    <col min="4" max="4" width="30.33203125" style="2" customWidth="1"/>
    <col min="5" max="5" width="27.6640625" style="2" customWidth="1"/>
    <col min="6" max="6" width="45.5546875" style="2" customWidth="1"/>
    <col min="7" max="7" width="40.77734375" customWidth="1"/>
    <col min="8" max="8" width="17.109375" hidden="1" customWidth="1"/>
    <col min="9" max="9" width="15.109375" hidden="1" customWidth="1"/>
    <col min="10" max="10" width="26.44140625" hidden="1" customWidth="1"/>
    <col min="11" max="12" width="24.109375" hidden="1" customWidth="1"/>
    <col min="13" max="13" width="29.33203125" customWidth="1"/>
    <col min="14" max="14" width="29.6640625" customWidth="1"/>
    <col min="15" max="15" width="40.109375" customWidth="1"/>
    <col min="16" max="16" width="21.6640625" customWidth="1"/>
    <col min="17" max="18" width="22.109375" customWidth="1"/>
    <col min="20" max="20" width="34.44140625" hidden="1" customWidth="1"/>
    <col min="21" max="21" width="22.77734375" hidden="1" customWidth="1"/>
    <col min="22" max="22" width="21.77734375" hidden="1" customWidth="1"/>
    <col min="23" max="23" width="17.6640625" hidden="1" customWidth="1"/>
    <col min="24" max="24" width="16.33203125" hidden="1" customWidth="1"/>
    <col min="25" max="25" width="11.33203125" bestFit="1" customWidth="1"/>
  </cols>
  <sheetData>
    <row r="1" spans="1:23" s="6" customFormat="1" ht="33.65" customHeight="1">
      <c r="A1" s="29" t="s">
        <v>681</v>
      </c>
      <c r="B1" s="29" t="s">
        <v>682</v>
      </c>
      <c r="C1" s="29" t="s">
        <v>681</v>
      </c>
      <c r="D1" s="29" t="s">
        <v>683</v>
      </c>
      <c r="E1" s="29" t="s">
        <v>681</v>
      </c>
      <c r="F1" s="29" t="s">
        <v>684</v>
      </c>
      <c r="G1" s="10" t="s">
        <v>806</v>
      </c>
      <c r="H1" s="4" t="s">
        <v>16</v>
      </c>
      <c r="I1" s="4" t="s">
        <v>17</v>
      </c>
      <c r="J1" s="5" t="s">
        <v>18</v>
      </c>
      <c r="K1" s="5" t="s">
        <v>19</v>
      </c>
      <c r="L1" s="5"/>
      <c r="M1" s="5" t="s">
        <v>76</v>
      </c>
      <c r="N1" s="3" t="s">
        <v>807</v>
      </c>
      <c r="O1" s="3" t="s">
        <v>22</v>
      </c>
      <c r="P1" s="3" t="s">
        <v>23</v>
      </c>
      <c r="Q1" s="3" t="s">
        <v>24</v>
      </c>
      <c r="R1" s="3" t="s">
        <v>25</v>
      </c>
    </row>
    <row r="2" spans="1:23" ht="15.5">
      <c r="A2" s="31" t="s">
        <v>692</v>
      </c>
      <c r="B2" s="32" t="s">
        <v>693</v>
      </c>
      <c r="C2" s="32" t="s">
        <v>694</v>
      </c>
      <c r="D2" s="33" t="s">
        <v>695</v>
      </c>
      <c r="E2" s="32" t="s">
        <v>696</v>
      </c>
      <c r="F2" s="33" t="s">
        <v>697</v>
      </c>
      <c r="G2" s="11">
        <v>0</v>
      </c>
      <c r="H2">
        <v>0.5</v>
      </c>
      <c r="I2">
        <v>0.1</v>
      </c>
      <c r="J2">
        <v>0.9</v>
      </c>
      <c r="K2" s="1">
        <v>0.1</v>
      </c>
      <c r="L2" s="1"/>
      <c r="M2">
        <v>0</v>
      </c>
      <c r="N2">
        <v>0</v>
      </c>
      <c r="O2">
        <v>0</v>
      </c>
      <c r="P2">
        <v>0</v>
      </c>
      <c r="Q2">
        <v>0</v>
      </c>
      <c r="R2" t="e">
        <v>#DIV/0!</v>
      </c>
    </row>
    <row r="3" spans="1:23" ht="15.5">
      <c r="A3" s="31" t="s">
        <v>692</v>
      </c>
      <c r="B3" s="32" t="s">
        <v>693</v>
      </c>
      <c r="C3" s="32" t="s">
        <v>694</v>
      </c>
      <c r="D3" s="33" t="s">
        <v>695</v>
      </c>
      <c r="E3" s="32" t="s">
        <v>700</v>
      </c>
      <c r="F3" s="33" t="s">
        <v>701</v>
      </c>
      <c r="G3" s="11">
        <v>0</v>
      </c>
      <c r="H3">
        <v>0.5</v>
      </c>
      <c r="I3">
        <v>0.1</v>
      </c>
      <c r="J3">
        <v>0.9</v>
      </c>
      <c r="K3" s="1">
        <v>0.1</v>
      </c>
      <c r="L3" s="1"/>
      <c r="M3">
        <v>0</v>
      </c>
      <c r="N3">
        <v>0</v>
      </c>
      <c r="O3">
        <v>0</v>
      </c>
      <c r="P3">
        <v>0</v>
      </c>
      <c r="Q3">
        <v>0</v>
      </c>
      <c r="R3" t="e">
        <v>#DIV/0!</v>
      </c>
    </row>
    <row r="4" spans="1:23" ht="15.5">
      <c r="A4" s="31" t="s">
        <v>692</v>
      </c>
      <c r="B4" s="32" t="s">
        <v>693</v>
      </c>
      <c r="C4" s="32" t="s">
        <v>694</v>
      </c>
      <c r="D4" s="33" t="s">
        <v>695</v>
      </c>
      <c r="E4" s="32" t="s">
        <v>702</v>
      </c>
      <c r="F4" s="33" t="s">
        <v>703</v>
      </c>
      <c r="G4" s="11">
        <v>0</v>
      </c>
      <c r="H4">
        <v>0.5</v>
      </c>
      <c r="I4">
        <v>0.1</v>
      </c>
      <c r="J4">
        <v>0.9</v>
      </c>
      <c r="K4" s="1">
        <v>0.1</v>
      </c>
      <c r="L4" s="1"/>
      <c r="M4">
        <v>0</v>
      </c>
      <c r="N4">
        <v>0</v>
      </c>
      <c r="O4">
        <v>0</v>
      </c>
      <c r="P4">
        <v>0</v>
      </c>
      <c r="Q4">
        <v>0</v>
      </c>
      <c r="R4" t="e">
        <v>#DIV/0!</v>
      </c>
    </row>
    <row r="5" spans="1:23" ht="15.5">
      <c r="A5" s="31" t="s">
        <v>692</v>
      </c>
      <c r="B5" s="32" t="s">
        <v>693</v>
      </c>
      <c r="C5" s="32" t="s">
        <v>694</v>
      </c>
      <c r="D5" s="33" t="s">
        <v>695</v>
      </c>
      <c r="E5" s="32" t="s">
        <v>704</v>
      </c>
      <c r="F5" s="33" t="s">
        <v>705</v>
      </c>
      <c r="G5" s="11">
        <v>0</v>
      </c>
      <c r="H5">
        <v>0.5</v>
      </c>
      <c r="I5">
        <v>0.1</v>
      </c>
      <c r="J5">
        <v>0.9</v>
      </c>
      <c r="K5" s="1">
        <v>0.1</v>
      </c>
      <c r="L5" s="1"/>
      <c r="M5">
        <v>0</v>
      </c>
      <c r="N5">
        <v>0</v>
      </c>
      <c r="O5">
        <v>0</v>
      </c>
      <c r="P5">
        <v>0</v>
      </c>
      <c r="Q5">
        <v>0</v>
      </c>
      <c r="R5" t="e">
        <v>#DIV/0!</v>
      </c>
      <c r="U5" s="8" t="s">
        <v>30</v>
      </c>
      <c r="V5" s="8" t="s">
        <v>31</v>
      </c>
      <c r="W5" s="8" t="s">
        <v>2</v>
      </c>
    </row>
    <row r="6" spans="1:23" ht="15.5">
      <c r="A6" s="31" t="s">
        <v>692</v>
      </c>
      <c r="B6" s="32" t="s">
        <v>693</v>
      </c>
      <c r="C6" s="32" t="s">
        <v>694</v>
      </c>
      <c r="D6" s="33" t="s">
        <v>695</v>
      </c>
      <c r="E6" s="32" t="s">
        <v>706</v>
      </c>
      <c r="F6" s="33" t="s">
        <v>707</v>
      </c>
      <c r="G6" s="11">
        <v>0</v>
      </c>
      <c r="H6">
        <v>0.5</v>
      </c>
      <c r="I6">
        <v>0.1</v>
      </c>
      <c r="J6">
        <v>0.9</v>
      </c>
      <c r="K6" s="1">
        <v>0.1</v>
      </c>
      <c r="L6" s="1"/>
      <c r="M6">
        <v>0</v>
      </c>
      <c r="N6">
        <v>0</v>
      </c>
      <c r="O6">
        <v>0</v>
      </c>
      <c r="P6">
        <v>0</v>
      </c>
      <c r="Q6">
        <v>0</v>
      </c>
      <c r="R6" t="e">
        <v>#DIV/0!</v>
      </c>
      <c r="U6" s="7">
        <v>6</v>
      </c>
      <c r="V6" s="7">
        <v>0.06</v>
      </c>
      <c r="W6" s="7">
        <v>0.1</v>
      </c>
    </row>
    <row r="7" spans="1:23" ht="15.5">
      <c r="A7" s="31" t="s">
        <v>692</v>
      </c>
      <c r="B7" s="32" t="s">
        <v>693</v>
      </c>
      <c r="C7" s="32" t="s">
        <v>694</v>
      </c>
      <c r="D7" s="33" t="s">
        <v>695</v>
      </c>
      <c r="E7" s="32" t="s">
        <v>708</v>
      </c>
      <c r="F7" s="33" t="s">
        <v>709</v>
      </c>
      <c r="G7" s="11">
        <v>0</v>
      </c>
      <c r="H7">
        <v>0.5</v>
      </c>
      <c r="I7">
        <v>0.1</v>
      </c>
      <c r="J7">
        <v>0.9</v>
      </c>
      <c r="K7" s="1">
        <v>0.1</v>
      </c>
      <c r="L7" s="1"/>
      <c r="M7">
        <v>0</v>
      </c>
      <c r="N7">
        <v>0</v>
      </c>
      <c r="O7">
        <v>0</v>
      </c>
      <c r="P7">
        <v>0</v>
      </c>
      <c r="Q7">
        <v>0</v>
      </c>
      <c r="R7" t="e">
        <v>#DIV/0!</v>
      </c>
    </row>
    <row r="8" spans="1:23" ht="15.5">
      <c r="A8" s="31" t="s">
        <v>692</v>
      </c>
      <c r="B8" s="32" t="s">
        <v>693</v>
      </c>
      <c r="C8" s="32" t="s">
        <v>694</v>
      </c>
      <c r="D8" s="33" t="s">
        <v>695</v>
      </c>
      <c r="E8" s="32" t="s">
        <v>710</v>
      </c>
      <c r="F8" s="33" t="s">
        <v>711</v>
      </c>
      <c r="G8" s="11">
        <v>0</v>
      </c>
      <c r="H8">
        <v>0.5</v>
      </c>
      <c r="I8">
        <v>0.1</v>
      </c>
      <c r="J8">
        <v>0.9</v>
      </c>
      <c r="K8" s="1">
        <v>0.1</v>
      </c>
      <c r="L8" s="1"/>
      <c r="M8">
        <v>0</v>
      </c>
      <c r="N8">
        <v>0</v>
      </c>
      <c r="O8">
        <v>0</v>
      </c>
      <c r="P8">
        <v>0</v>
      </c>
      <c r="Q8">
        <v>0</v>
      </c>
      <c r="R8" t="e">
        <v>#DIV/0!</v>
      </c>
    </row>
    <row r="9" spans="1:23" ht="15.5">
      <c r="A9" s="31" t="s">
        <v>692</v>
      </c>
      <c r="B9" s="32" t="s">
        <v>693</v>
      </c>
      <c r="C9" s="32" t="s">
        <v>694</v>
      </c>
      <c r="D9" s="33" t="s">
        <v>695</v>
      </c>
      <c r="E9" s="32" t="s">
        <v>712</v>
      </c>
      <c r="F9" s="33" t="s">
        <v>713</v>
      </c>
      <c r="G9" s="11">
        <v>0</v>
      </c>
      <c r="H9">
        <v>0.5</v>
      </c>
      <c r="I9">
        <v>0.1</v>
      </c>
      <c r="J9">
        <v>0.9</v>
      </c>
      <c r="K9" s="1">
        <v>0.1</v>
      </c>
      <c r="L9" s="1"/>
      <c r="M9">
        <v>0</v>
      </c>
      <c r="N9">
        <v>0</v>
      </c>
      <c r="O9">
        <v>0</v>
      </c>
      <c r="P9">
        <v>0</v>
      </c>
      <c r="Q9">
        <v>0</v>
      </c>
      <c r="R9" t="e">
        <v>#DIV/0!</v>
      </c>
    </row>
    <row r="10" spans="1:23" ht="15.5">
      <c r="A10" s="31" t="s">
        <v>692</v>
      </c>
      <c r="B10" s="32" t="s">
        <v>693</v>
      </c>
      <c r="C10" s="32" t="s">
        <v>694</v>
      </c>
      <c r="D10" s="33" t="s">
        <v>695</v>
      </c>
      <c r="E10" s="32" t="s">
        <v>714</v>
      </c>
      <c r="F10" s="33" t="s">
        <v>715</v>
      </c>
      <c r="G10" s="11">
        <v>0</v>
      </c>
      <c r="H10">
        <v>0.5</v>
      </c>
      <c r="I10">
        <v>0.1</v>
      </c>
      <c r="J10">
        <v>0.9</v>
      </c>
      <c r="K10" s="1">
        <v>0.1</v>
      </c>
      <c r="L10" s="1"/>
      <c r="M10">
        <v>0</v>
      </c>
      <c r="N10">
        <v>0</v>
      </c>
      <c r="O10">
        <v>0</v>
      </c>
      <c r="P10">
        <v>0</v>
      </c>
      <c r="Q10">
        <v>0</v>
      </c>
      <c r="R10" t="e">
        <v>#DIV/0!</v>
      </c>
    </row>
    <row r="11" spans="1:23" ht="15.5">
      <c r="A11" s="31" t="s">
        <v>692</v>
      </c>
      <c r="B11" s="32" t="s">
        <v>693</v>
      </c>
      <c r="C11" s="32" t="s">
        <v>716</v>
      </c>
      <c r="D11" s="33" t="s">
        <v>717</v>
      </c>
      <c r="E11" s="32" t="s">
        <v>718</v>
      </c>
      <c r="F11" s="33" t="s">
        <v>719</v>
      </c>
      <c r="G11" s="11">
        <v>0</v>
      </c>
      <c r="H11">
        <v>0.5</v>
      </c>
      <c r="I11">
        <v>0.1</v>
      </c>
      <c r="J11">
        <v>0.9</v>
      </c>
      <c r="K11" s="1">
        <v>0.1</v>
      </c>
      <c r="L11" s="1"/>
      <c r="M11">
        <v>0</v>
      </c>
      <c r="N11">
        <v>0</v>
      </c>
      <c r="O11">
        <v>0</v>
      </c>
      <c r="P11">
        <v>0</v>
      </c>
      <c r="Q11">
        <v>0</v>
      </c>
      <c r="R11" t="e">
        <v>#DIV/0!</v>
      </c>
    </row>
    <row r="12" spans="1:23" ht="15.5">
      <c r="A12" s="31" t="s">
        <v>692</v>
      </c>
      <c r="B12" s="32" t="s">
        <v>693</v>
      </c>
      <c r="C12" s="32" t="s">
        <v>716</v>
      </c>
      <c r="D12" s="33" t="s">
        <v>717</v>
      </c>
      <c r="E12" s="32" t="s">
        <v>720</v>
      </c>
      <c r="F12" s="33" t="s">
        <v>721</v>
      </c>
      <c r="G12" s="11">
        <v>0</v>
      </c>
      <c r="H12">
        <v>0.5</v>
      </c>
      <c r="I12">
        <v>0.1</v>
      </c>
      <c r="J12">
        <v>0.9</v>
      </c>
      <c r="K12" s="1">
        <v>0.1</v>
      </c>
      <c r="L12" s="1"/>
      <c r="M12">
        <v>0</v>
      </c>
      <c r="N12">
        <v>0</v>
      </c>
      <c r="O12">
        <v>0</v>
      </c>
      <c r="P12">
        <v>0</v>
      </c>
      <c r="Q12">
        <v>0</v>
      </c>
      <c r="R12" t="e">
        <v>#DIV/0!</v>
      </c>
    </row>
    <row r="13" spans="1:23" ht="13.75" customHeight="1">
      <c r="A13" s="31" t="s">
        <v>692</v>
      </c>
      <c r="B13" s="32" t="s">
        <v>693</v>
      </c>
      <c r="C13" s="32" t="s">
        <v>716</v>
      </c>
      <c r="D13" s="33" t="s">
        <v>717</v>
      </c>
      <c r="E13" s="32" t="s">
        <v>722</v>
      </c>
      <c r="F13" s="33" t="s">
        <v>723</v>
      </c>
      <c r="G13" s="11">
        <v>598</v>
      </c>
      <c r="H13">
        <v>0.5</v>
      </c>
      <c r="I13">
        <v>0.1</v>
      </c>
      <c r="J13">
        <v>0.9</v>
      </c>
      <c r="K13" s="1">
        <v>0.1</v>
      </c>
      <c r="L13" s="1"/>
      <c r="M13">
        <v>68</v>
      </c>
      <c r="N13">
        <v>72</v>
      </c>
      <c r="O13">
        <v>62</v>
      </c>
      <c r="P13">
        <v>10</v>
      </c>
      <c r="Q13">
        <v>12</v>
      </c>
      <c r="R13">
        <v>0.21107769635873327</v>
      </c>
    </row>
    <row r="14" spans="1:23" ht="13.75" customHeight="1">
      <c r="A14" s="31" t="s">
        <v>692</v>
      </c>
      <c r="B14" s="32" t="s">
        <v>693</v>
      </c>
      <c r="C14" s="32" t="s">
        <v>716</v>
      </c>
      <c r="D14" s="33" t="s">
        <v>717</v>
      </c>
      <c r="E14" s="32" t="s">
        <v>724</v>
      </c>
      <c r="F14" s="33" t="s">
        <v>725</v>
      </c>
      <c r="G14" s="11">
        <v>0</v>
      </c>
      <c r="H14">
        <v>0.5</v>
      </c>
      <c r="I14">
        <v>0.1</v>
      </c>
      <c r="J14">
        <v>0.9</v>
      </c>
      <c r="K14" s="1">
        <v>0.1</v>
      </c>
      <c r="L14" s="1"/>
      <c r="M14">
        <v>0</v>
      </c>
      <c r="N14">
        <v>0</v>
      </c>
      <c r="O14">
        <v>0</v>
      </c>
      <c r="P14">
        <v>0</v>
      </c>
      <c r="Q14">
        <v>0</v>
      </c>
      <c r="R14" t="e">
        <v>#DIV/0!</v>
      </c>
    </row>
    <row r="15" spans="1:23" ht="13.75" customHeight="1">
      <c r="A15" s="31" t="s">
        <v>692</v>
      </c>
      <c r="B15" s="32" t="s">
        <v>693</v>
      </c>
      <c r="C15" s="32" t="s">
        <v>716</v>
      </c>
      <c r="D15" s="33" t="s">
        <v>717</v>
      </c>
      <c r="E15" s="32" t="s">
        <v>726</v>
      </c>
      <c r="F15" s="33" t="s">
        <v>727</v>
      </c>
      <c r="G15" s="11">
        <v>0</v>
      </c>
      <c r="H15">
        <v>0.5</v>
      </c>
      <c r="I15">
        <v>0.1</v>
      </c>
      <c r="J15">
        <v>0.9</v>
      </c>
      <c r="K15" s="1">
        <v>0.1</v>
      </c>
      <c r="L15" s="1"/>
      <c r="M15">
        <v>0</v>
      </c>
      <c r="N15">
        <v>0</v>
      </c>
      <c r="O15">
        <v>0</v>
      </c>
      <c r="P15">
        <v>0</v>
      </c>
      <c r="Q15">
        <v>0</v>
      </c>
      <c r="R15" t="e">
        <v>#DIV/0!</v>
      </c>
    </row>
    <row r="16" spans="1:23" ht="15.5">
      <c r="A16" s="31" t="s">
        <v>692</v>
      </c>
      <c r="B16" s="32" t="s">
        <v>693</v>
      </c>
      <c r="C16" s="32" t="s">
        <v>716</v>
      </c>
      <c r="D16" s="33" t="s">
        <v>717</v>
      </c>
      <c r="E16" s="32" t="s">
        <v>728</v>
      </c>
      <c r="F16" s="33" t="s">
        <v>729</v>
      </c>
      <c r="G16" s="11">
        <v>589</v>
      </c>
      <c r="H16">
        <v>0.5</v>
      </c>
      <c r="I16">
        <v>0.1</v>
      </c>
      <c r="J16">
        <v>0.9</v>
      </c>
      <c r="K16" s="1">
        <v>0.1</v>
      </c>
      <c r="L16" s="1"/>
      <c r="M16">
        <v>68</v>
      </c>
      <c r="N16">
        <v>72</v>
      </c>
      <c r="O16">
        <v>62</v>
      </c>
      <c r="P16">
        <v>10</v>
      </c>
      <c r="Q16">
        <v>12</v>
      </c>
      <c r="R16">
        <v>0.20790094173126067</v>
      </c>
    </row>
    <row r="17" spans="1:18" ht="15.5">
      <c r="A17" s="31" t="s">
        <v>692</v>
      </c>
      <c r="B17" s="32" t="s">
        <v>693</v>
      </c>
      <c r="C17" s="32" t="s">
        <v>716</v>
      </c>
      <c r="D17" s="33" t="s">
        <v>717</v>
      </c>
      <c r="E17" s="32" t="s">
        <v>730</v>
      </c>
      <c r="F17" s="33" t="s">
        <v>731</v>
      </c>
      <c r="G17" s="11">
        <v>116</v>
      </c>
      <c r="H17">
        <v>0.5</v>
      </c>
      <c r="I17">
        <v>0.1</v>
      </c>
      <c r="J17">
        <v>0.9</v>
      </c>
      <c r="K17" s="1">
        <v>0.1</v>
      </c>
      <c r="L17" s="1"/>
      <c r="M17">
        <v>48</v>
      </c>
      <c r="N17">
        <v>48</v>
      </c>
      <c r="O17">
        <v>44</v>
      </c>
      <c r="P17">
        <v>4</v>
      </c>
      <c r="Q17">
        <v>8</v>
      </c>
      <c r="R17">
        <v>6.1417256131136432E-2</v>
      </c>
    </row>
    <row r="18" spans="1:18" ht="15.5">
      <c r="A18" s="31" t="s">
        <v>692</v>
      </c>
      <c r="B18" s="32" t="s">
        <v>693</v>
      </c>
      <c r="C18" s="32" t="s">
        <v>716</v>
      </c>
      <c r="D18" s="33" t="s">
        <v>717</v>
      </c>
      <c r="E18" s="32" t="s">
        <v>732</v>
      </c>
      <c r="F18" s="33" t="s">
        <v>733</v>
      </c>
      <c r="G18" s="11">
        <v>2686</v>
      </c>
      <c r="H18">
        <v>0.5</v>
      </c>
      <c r="I18">
        <v>0.1</v>
      </c>
      <c r="J18">
        <v>0.9</v>
      </c>
      <c r="K18" s="1">
        <v>0.1</v>
      </c>
      <c r="L18" s="1"/>
      <c r="M18">
        <v>73</v>
      </c>
      <c r="N18">
        <v>78</v>
      </c>
      <c r="O18">
        <v>66</v>
      </c>
      <c r="P18">
        <v>12</v>
      </c>
      <c r="Q18">
        <v>13</v>
      </c>
      <c r="R18">
        <v>0.87515517224526496</v>
      </c>
    </row>
    <row r="19" spans="1:18" ht="15.5">
      <c r="A19" s="31" t="s">
        <v>692</v>
      </c>
      <c r="B19" s="32" t="s">
        <v>693</v>
      </c>
      <c r="C19" s="32" t="s">
        <v>716</v>
      </c>
      <c r="D19" s="33" t="s">
        <v>717</v>
      </c>
      <c r="E19" s="32" t="s">
        <v>734</v>
      </c>
      <c r="F19" s="33" t="s">
        <v>735</v>
      </c>
      <c r="G19" s="11">
        <v>1338</v>
      </c>
      <c r="H19">
        <v>0.5</v>
      </c>
      <c r="I19">
        <v>0.1</v>
      </c>
      <c r="J19">
        <v>0.9</v>
      </c>
      <c r="K19" s="1">
        <v>0.1</v>
      </c>
      <c r="L19" s="1"/>
      <c r="M19">
        <v>71</v>
      </c>
      <c r="N19">
        <v>72</v>
      </c>
      <c r="O19">
        <v>64</v>
      </c>
      <c r="P19">
        <v>8</v>
      </c>
      <c r="Q19">
        <v>12</v>
      </c>
      <c r="R19">
        <v>0.47227752128425599</v>
      </c>
    </row>
    <row r="20" spans="1:18" ht="15.5">
      <c r="A20" s="31" t="s">
        <v>692</v>
      </c>
      <c r="B20" s="32" t="s">
        <v>693</v>
      </c>
      <c r="C20" s="32" t="s">
        <v>716</v>
      </c>
      <c r="D20" s="33" t="s">
        <v>717</v>
      </c>
      <c r="E20" s="32" t="s">
        <v>736</v>
      </c>
      <c r="F20" s="33" t="s">
        <v>737</v>
      </c>
      <c r="G20" s="11">
        <v>0</v>
      </c>
      <c r="H20">
        <v>0.5</v>
      </c>
      <c r="I20">
        <v>0.1</v>
      </c>
      <c r="J20">
        <v>0.9</v>
      </c>
      <c r="K20" s="1">
        <v>0.1</v>
      </c>
      <c r="L20" s="1"/>
      <c r="M20">
        <v>0</v>
      </c>
      <c r="N20">
        <v>0</v>
      </c>
      <c r="O20">
        <v>0</v>
      </c>
      <c r="P20">
        <v>0</v>
      </c>
      <c r="Q20">
        <v>0</v>
      </c>
      <c r="R20" t="e">
        <v>#DIV/0!</v>
      </c>
    </row>
    <row r="21" spans="1:18" ht="15.5">
      <c r="A21" s="31" t="s">
        <v>692</v>
      </c>
      <c r="B21" s="32" t="s">
        <v>693</v>
      </c>
      <c r="C21" s="32" t="s">
        <v>738</v>
      </c>
      <c r="D21" s="33" t="s">
        <v>739</v>
      </c>
      <c r="E21" s="32" t="s">
        <v>740</v>
      </c>
      <c r="F21" s="33" t="s">
        <v>741</v>
      </c>
      <c r="G21" s="11">
        <v>0</v>
      </c>
      <c r="H21">
        <v>0.5</v>
      </c>
      <c r="I21">
        <v>0.1</v>
      </c>
      <c r="J21">
        <v>0.9</v>
      </c>
      <c r="K21" s="1">
        <v>0.1</v>
      </c>
      <c r="L21" s="1"/>
      <c r="M21">
        <v>0</v>
      </c>
      <c r="N21">
        <v>0</v>
      </c>
      <c r="O21">
        <v>0</v>
      </c>
      <c r="P21">
        <v>0</v>
      </c>
      <c r="Q21">
        <v>0</v>
      </c>
      <c r="R21" t="e">
        <v>#DIV/0!</v>
      </c>
    </row>
    <row r="22" spans="1:18" ht="15.5">
      <c r="A22" s="31" t="s">
        <v>692</v>
      </c>
      <c r="B22" s="32" t="s">
        <v>693</v>
      </c>
      <c r="C22" s="32" t="s">
        <v>738</v>
      </c>
      <c r="D22" s="33" t="s">
        <v>739</v>
      </c>
      <c r="E22" s="32" t="s">
        <v>742</v>
      </c>
      <c r="F22" s="33" t="s">
        <v>743</v>
      </c>
      <c r="G22" s="11">
        <v>0</v>
      </c>
      <c r="H22">
        <v>0.5</v>
      </c>
      <c r="I22">
        <v>0.1</v>
      </c>
      <c r="J22">
        <v>0.9</v>
      </c>
      <c r="K22" s="1">
        <v>0.1</v>
      </c>
      <c r="L22" s="1"/>
      <c r="M22">
        <v>0</v>
      </c>
      <c r="N22">
        <v>0</v>
      </c>
      <c r="O22">
        <v>0</v>
      </c>
      <c r="P22">
        <v>0</v>
      </c>
      <c r="Q22">
        <v>0</v>
      </c>
      <c r="R22" t="e">
        <v>#DIV/0!</v>
      </c>
    </row>
    <row r="23" spans="1:18" ht="15.5">
      <c r="A23" s="31" t="s">
        <v>692</v>
      </c>
      <c r="B23" s="32" t="s">
        <v>693</v>
      </c>
      <c r="C23" s="32" t="s">
        <v>738</v>
      </c>
      <c r="D23" s="33" t="s">
        <v>739</v>
      </c>
      <c r="E23" s="32" t="s">
        <v>744</v>
      </c>
      <c r="F23" s="33" t="s">
        <v>745</v>
      </c>
      <c r="G23" s="11">
        <v>0</v>
      </c>
      <c r="H23">
        <v>0.5</v>
      </c>
      <c r="I23">
        <v>0.1</v>
      </c>
      <c r="J23">
        <v>0.9</v>
      </c>
      <c r="K23" s="1">
        <v>0.1</v>
      </c>
      <c r="L23" s="1"/>
      <c r="M23">
        <v>0</v>
      </c>
      <c r="N23">
        <v>0</v>
      </c>
      <c r="O23">
        <v>0</v>
      </c>
      <c r="P23">
        <v>0</v>
      </c>
      <c r="Q23">
        <v>0</v>
      </c>
      <c r="R23" t="e">
        <v>#DIV/0!</v>
      </c>
    </row>
    <row r="24" spans="1:18" ht="15.5">
      <c r="A24" s="31" t="s">
        <v>692</v>
      </c>
      <c r="B24" s="32" t="s">
        <v>693</v>
      </c>
      <c r="C24" s="32" t="s">
        <v>738</v>
      </c>
      <c r="D24" s="33" t="s">
        <v>739</v>
      </c>
      <c r="E24" s="32" t="s">
        <v>746</v>
      </c>
      <c r="F24" s="33" t="s">
        <v>747</v>
      </c>
      <c r="G24" s="11">
        <v>0</v>
      </c>
      <c r="H24">
        <v>0.5</v>
      </c>
      <c r="I24">
        <v>0.1</v>
      </c>
      <c r="J24">
        <v>0.9</v>
      </c>
      <c r="K24" s="1">
        <v>0.1</v>
      </c>
      <c r="L24" s="1"/>
      <c r="M24">
        <v>0</v>
      </c>
      <c r="N24">
        <v>0</v>
      </c>
      <c r="O24">
        <v>0</v>
      </c>
      <c r="P24">
        <v>0</v>
      </c>
      <c r="Q24">
        <v>0</v>
      </c>
      <c r="R24" t="e">
        <v>#DIV/0!</v>
      </c>
    </row>
    <row r="25" spans="1:18" ht="15.5">
      <c r="A25" s="31" t="s">
        <v>692</v>
      </c>
      <c r="B25" s="32" t="s">
        <v>693</v>
      </c>
      <c r="C25" s="32" t="s">
        <v>738</v>
      </c>
      <c r="D25" s="33" t="s">
        <v>739</v>
      </c>
      <c r="E25" s="32" t="s">
        <v>748</v>
      </c>
      <c r="F25" s="33" t="s">
        <v>749</v>
      </c>
      <c r="G25" s="11">
        <v>0</v>
      </c>
      <c r="H25">
        <v>0.5</v>
      </c>
      <c r="I25">
        <v>0.1</v>
      </c>
      <c r="J25">
        <v>0.9</v>
      </c>
      <c r="K25" s="1">
        <v>0.1</v>
      </c>
      <c r="L25" s="1"/>
      <c r="M25">
        <v>0</v>
      </c>
      <c r="N25">
        <v>0</v>
      </c>
      <c r="O25">
        <v>0</v>
      </c>
      <c r="P25">
        <v>0</v>
      </c>
      <c r="Q25">
        <v>0</v>
      </c>
      <c r="R25" t="e">
        <v>#DIV/0!</v>
      </c>
    </row>
    <row r="26" spans="1:18" ht="15.5">
      <c r="A26" s="31" t="s">
        <v>692</v>
      </c>
      <c r="B26" s="32" t="s">
        <v>693</v>
      </c>
      <c r="C26" s="32" t="s">
        <v>738</v>
      </c>
      <c r="D26" s="33" t="s">
        <v>739</v>
      </c>
      <c r="E26" s="32" t="s">
        <v>750</v>
      </c>
      <c r="F26" s="33" t="s">
        <v>751</v>
      </c>
      <c r="G26" s="11">
        <v>0</v>
      </c>
      <c r="H26">
        <v>0.5</v>
      </c>
      <c r="I26">
        <v>0.1</v>
      </c>
      <c r="J26">
        <v>0.9</v>
      </c>
      <c r="K26" s="1">
        <v>0.1</v>
      </c>
      <c r="L26" s="1"/>
      <c r="M26">
        <v>0</v>
      </c>
      <c r="N26">
        <v>0</v>
      </c>
      <c r="O26">
        <v>0</v>
      </c>
      <c r="P26">
        <v>0</v>
      </c>
      <c r="Q26">
        <v>0</v>
      </c>
      <c r="R26" t="e">
        <v>#DIV/0!</v>
      </c>
    </row>
    <row r="27" spans="1:18" ht="15.5">
      <c r="A27" s="31" t="s">
        <v>692</v>
      </c>
      <c r="B27" s="32" t="s">
        <v>693</v>
      </c>
      <c r="C27" s="32" t="s">
        <v>738</v>
      </c>
      <c r="D27" s="33" t="s">
        <v>739</v>
      </c>
      <c r="E27" s="32" t="s">
        <v>752</v>
      </c>
      <c r="F27" s="33" t="s">
        <v>753</v>
      </c>
      <c r="G27" s="11">
        <v>0</v>
      </c>
      <c r="H27">
        <v>0.5</v>
      </c>
      <c r="I27">
        <v>0.1</v>
      </c>
      <c r="J27">
        <v>0.9</v>
      </c>
      <c r="K27" s="1">
        <v>0.1</v>
      </c>
      <c r="L27" s="1"/>
      <c r="M27">
        <v>0</v>
      </c>
      <c r="N27">
        <v>0</v>
      </c>
      <c r="O27">
        <v>0</v>
      </c>
      <c r="P27">
        <v>0</v>
      </c>
      <c r="Q27">
        <v>0</v>
      </c>
      <c r="R27" t="e">
        <v>#DIV/0!</v>
      </c>
    </row>
    <row r="28" spans="1:18" ht="15.5">
      <c r="A28" s="31" t="s">
        <v>692</v>
      </c>
      <c r="B28" s="32" t="s">
        <v>693</v>
      </c>
      <c r="C28" s="32" t="s">
        <v>738</v>
      </c>
      <c r="D28" s="33" t="s">
        <v>739</v>
      </c>
      <c r="E28" s="32" t="s">
        <v>754</v>
      </c>
      <c r="F28" s="33" t="s">
        <v>755</v>
      </c>
      <c r="G28" s="11">
        <v>0</v>
      </c>
      <c r="H28">
        <v>0.5</v>
      </c>
      <c r="I28">
        <v>0.1</v>
      </c>
      <c r="J28">
        <v>0.9</v>
      </c>
      <c r="K28" s="1">
        <v>0.1</v>
      </c>
      <c r="L28" s="1"/>
      <c r="M28">
        <v>0</v>
      </c>
      <c r="N28">
        <v>0</v>
      </c>
      <c r="O28">
        <v>0</v>
      </c>
      <c r="P28">
        <v>0</v>
      </c>
      <c r="Q28">
        <v>0</v>
      </c>
      <c r="R28" t="e">
        <v>#DIV/0!</v>
      </c>
    </row>
    <row r="29" spans="1:18" ht="15.5">
      <c r="A29" s="31" t="s">
        <v>692</v>
      </c>
      <c r="B29" s="32" t="s">
        <v>693</v>
      </c>
      <c r="C29" s="32" t="s">
        <v>738</v>
      </c>
      <c r="D29" s="33" t="s">
        <v>739</v>
      </c>
      <c r="E29" s="32" t="s">
        <v>756</v>
      </c>
      <c r="F29" s="33" t="s">
        <v>757</v>
      </c>
      <c r="G29" s="11">
        <v>0</v>
      </c>
      <c r="H29">
        <v>0.5</v>
      </c>
      <c r="I29">
        <v>0.1</v>
      </c>
      <c r="J29">
        <v>0.9</v>
      </c>
      <c r="K29" s="1">
        <v>0.1</v>
      </c>
      <c r="L29" s="1"/>
      <c r="M29">
        <v>0</v>
      </c>
      <c r="N29">
        <v>0</v>
      </c>
      <c r="O29">
        <v>0</v>
      </c>
      <c r="P29">
        <v>0</v>
      </c>
      <c r="Q29">
        <v>0</v>
      </c>
      <c r="R29" t="e">
        <v>#DIV/0!</v>
      </c>
    </row>
    <row r="30" spans="1:18" ht="15.5">
      <c r="A30" s="31" t="s">
        <v>692</v>
      </c>
      <c r="B30" s="32" t="s">
        <v>693</v>
      </c>
      <c r="C30" s="32" t="s">
        <v>738</v>
      </c>
      <c r="D30" s="33" t="s">
        <v>739</v>
      </c>
      <c r="E30" s="32" t="s">
        <v>758</v>
      </c>
      <c r="F30" s="33" t="s">
        <v>759</v>
      </c>
      <c r="G30" s="11">
        <v>0</v>
      </c>
      <c r="H30">
        <v>0.5</v>
      </c>
      <c r="I30">
        <v>0.1</v>
      </c>
      <c r="J30">
        <v>0.9</v>
      </c>
      <c r="K30" s="1">
        <v>0.1</v>
      </c>
      <c r="L30" s="1"/>
      <c r="M30">
        <v>0</v>
      </c>
      <c r="N30">
        <v>0</v>
      </c>
      <c r="O30">
        <v>0</v>
      </c>
      <c r="P30">
        <v>0</v>
      </c>
      <c r="Q30">
        <v>0</v>
      </c>
      <c r="R30" t="e">
        <v>#DIV/0!</v>
      </c>
    </row>
    <row r="31" spans="1:18" ht="15.5">
      <c r="A31" s="31" t="s">
        <v>692</v>
      </c>
      <c r="B31" s="32" t="s">
        <v>693</v>
      </c>
      <c r="C31" s="32" t="s">
        <v>738</v>
      </c>
      <c r="D31" s="33" t="s">
        <v>739</v>
      </c>
      <c r="E31" s="32" t="s">
        <v>760</v>
      </c>
      <c r="F31" s="33" t="s">
        <v>761</v>
      </c>
      <c r="G31" s="11">
        <v>0</v>
      </c>
      <c r="H31">
        <v>0.5</v>
      </c>
      <c r="I31">
        <v>0.1</v>
      </c>
      <c r="J31">
        <v>0.9</v>
      </c>
      <c r="K31" s="1">
        <v>0.1</v>
      </c>
      <c r="L31" s="1"/>
      <c r="M31">
        <v>0</v>
      </c>
      <c r="N31">
        <v>0</v>
      </c>
      <c r="O31">
        <v>0</v>
      </c>
      <c r="P31">
        <v>0</v>
      </c>
      <c r="Q31">
        <v>0</v>
      </c>
      <c r="R31" t="e">
        <v>#DIV/0!</v>
      </c>
    </row>
    <row r="32" spans="1:18" ht="15.5">
      <c r="A32" s="31" t="s">
        <v>692</v>
      </c>
      <c r="B32" s="32" t="s">
        <v>693</v>
      </c>
      <c r="C32" s="32" t="s">
        <v>762</v>
      </c>
      <c r="D32" s="33" t="s">
        <v>763</v>
      </c>
      <c r="E32" s="32" t="s">
        <v>764</v>
      </c>
      <c r="F32" s="33" t="s">
        <v>765</v>
      </c>
      <c r="G32" s="11">
        <v>0</v>
      </c>
      <c r="H32">
        <v>0.5</v>
      </c>
      <c r="I32">
        <v>0.1</v>
      </c>
      <c r="J32">
        <v>0.9</v>
      </c>
      <c r="K32" s="1">
        <v>0.1</v>
      </c>
      <c r="L32" s="1"/>
      <c r="M32">
        <v>0</v>
      </c>
      <c r="N32">
        <v>0</v>
      </c>
      <c r="O32">
        <v>0</v>
      </c>
      <c r="P32">
        <v>0</v>
      </c>
      <c r="Q32">
        <v>0</v>
      </c>
      <c r="R32" t="e">
        <v>#DIV/0!</v>
      </c>
    </row>
    <row r="33" spans="1:18" ht="15.5">
      <c r="A33" s="31" t="s">
        <v>692</v>
      </c>
      <c r="B33" s="32" t="s">
        <v>693</v>
      </c>
      <c r="C33" s="32" t="s">
        <v>762</v>
      </c>
      <c r="D33" s="33" t="s">
        <v>763</v>
      </c>
      <c r="E33" s="32" t="s">
        <v>766</v>
      </c>
      <c r="F33" s="33" t="s">
        <v>767</v>
      </c>
      <c r="G33" s="11">
        <v>0</v>
      </c>
      <c r="H33">
        <v>0.5</v>
      </c>
      <c r="I33">
        <v>0.1</v>
      </c>
      <c r="J33">
        <v>0.9</v>
      </c>
      <c r="K33" s="1">
        <v>0.1</v>
      </c>
      <c r="L33" s="1"/>
      <c r="M33">
        <v>0</v>
      </c>
      <c r="N33">
        <v>0</v>
      </c>
      <c r="O33">
        <v>0</v>
      </c>
      <c r="P33">
        <v>0</v>
      </c>
      <c r="Q33">
        <v>0</v>
      </c>
      <c r="R33" t="e">
        <v>#DIV/0!</v>
      </c>
    </row>
    <row r="34" spans="1:18" ht="15.5">
      <c r="A34" s="31" t="s">
        <v>692</v>
      </c>
      <c r="B34" s="32" t="s">
        <v>693</v>
      </c>
      <c r="C34" s="32" t="s">
        <v>762</v>
      </c>
      <c r="D34" s="33" t="s">
        <v>763</v>
      </c>
      <c r="E34" s="32" t="s">
        <v>768</v>
      </c>
      <c r="F34" s="33" t="s">
        <v>769</v>
      </c>
      <c r="G34" s="11">
        <v>0</v>
      </c>
      <c r="H34">
        <v>0.5</v>
      </c>
      <c r="I34">
        <v>0.1</v>
      </c>
      <c r="J34">
        <v>0.9</v>
      </c>
      <c r="K34" s="1">
        <v>0.1</v>
      </c>
      <c r="L34" s="1"/>
      <c r="M34">
        <v>0</v>
      </c>
      <c r="N34">
        <v>0</v>
      </c>
      <c r="O34">
        <v>0</v>
      </c>
      <c r="P34">
        <v>0</v>
      </c>
      <c r="Q34">
        <v>0</v>
      </c>
      <c r="R34" t="e">
        <v>#DIV/0!</v>
      </c>
    </row>
    <row r="35" spans="1:18" ht="15.5">
      <c r="A35" s="31" t="s">
        <v>692</v>
      </c>
      <c r="B35" s="32" t="s">
        <v>693</v>
      </c>
      <c r="C35" s="32" t="s">
        <v>762</v>
      </c>
      <c r="D35" s="33" t="s">
        <v>763</v>
      </c>
      <c r="E35" s="32" t="s">
        <v>770</v>
      </c>
      <c r="F35" s="33" t="s">
        <v>771</v>
      </c>
      <c r="G35" s="11">
        <v>0</v>
      </c>
      <c r="H35">
        <v>0.5</v>
      </c>
      <c r="I35">
        <v>0.1</v>
      </c>
      <c r="J35">
        <v>0.9</v>
      </c>
      <c r="K35" s="1">
        <v>0.1</v>
      </c>
      <c r="L35" s="1"/>
      <c r="M35">
        <v>0</v>
      </c>
      <c r="N35">
        <v>0</v>
      </c>
      <c r="O35">
        <v>0</v>
      </c>
      <c r="P35">
        <v>0</v>
      </c>
      <c r="Q35">
        <v>0</v>
      </c>
      <c r="R35" t="e">
        <v>#DIV/0!</v>
      </c>
    </row>
    <row r="36" spans="1:18" ht="15.5">
      <c r="A36" s="31" t="s">
        <v>692</v>
      </c>
      <c r="B36" s="32" t="s">
        <v>693</v>
      </c>
      <c r="C36" s="32" t="s">
        <v>762</v>
      </c>
      <c r="D36" s="33" t="s">
        <v>763</v>
      </c>
      <c r="E36" s="32" t="s">
        <v>772</v>
      </c>
      <c r="F36" s="33" t="s">
        <v>773</v>
      </c>
      <c r="G36" s="11">
        <v>0</v>
      </c>
      <c r="H36">
        <v>0.5</v>
      </c>
      <c r="I36">
        <v>0.1</v>
      </c>
      <c r="J36">
        <v>0.9</v>
      </c>
      <c r="K36" s="1">
        <v>0.1</v>
      </c>
      <c r="L36" s="1"/>
      <c r="M36">
        <v>0</v>
      </c>
      <c r="N36">
        <v>0</v>
      </c>
      <c r="O36">
        <v>0</v>
      </c>
      <c r="P36">
        <v>0</v>
      </c>
      <c r="Q36">
        <v>0</v>
      </c>
      <c r="R36" t="e">
        <v>#DIV/0!</v>
      </c>
    </row>
    <row r="37" spans="1:18" ht="15.5">
      <c r="A37" s="31" t="s">
        <v>692</v>
      </c>
      <c r="B37" s="32" t="s">
        <v>693</v>
      </c>
      <c r="C37" s="32" t="s">
        <v>762</v>
      </c>
      <c r="D37" s="33" t="s">
        <v>763</v>
      </c>
      <c r="E37" s="32" t="s">
        <v>774</v>
      </c>
      <c r="F37" s="33" t="s">
        <v>775</v>
      </c>
      <c r="G37" s="11">
        <v>0</v>
      </c>
      <c r="H37">
        <v>0.5</v>
      </c>
      <c r="I37">
        <v>0.1</v>
      </c>
      <c r="J37">
        <v>0.9</v>
      </c>
      <c r="K37" s="1">
        <v>0.1</v>
      </c>
      <c r="L37" s="1"/>
      <c r="M37">
        <v>0</v>
      </c>
      <c r="N37">
        <v>0</v>
      </c>
      <c r="O37">
        <v>0</v>
      </c>
      <c r="P37">
        <v>0</v>
      </c>
      <c r="Q37">
        <v>0</v>
      </c>
      <c r="R37" t="e">
        <v>#DIV/0!</v>
      </c>
    </row>
    <row r="38" spans="1:18" ht="15.5">
      <c r="A38" s="31" t="s">
        <v>692</v>
      </c>
      <c r="B38" s="32" t="s">
        <v>693</v>
      </c>
      <c r="C38" s="32" t="s">
        <v>762</v>
      </c>
      <c r="D38" s="33" t="s">
        <v>763</v>
      </c>
      <c r="E38" s="32" t="s">
        <v>776</v>
      </c>
      <c r="F38" s="33" t="s">
        <v>777</v>
      </c>
      <c r="G38" s="11">
        <v>0</v>
      </c>
      <c r="H38">
        <v>0.5</v>
      </c>
      <c r="I38">
        <v>0.1</v>
      </c>
      <c r="J38">
        <v>0.9</v>
      </c>
      <c r="K38" s="1">
        <v>0.1</v>
      </c>
      <c r="L38" s="1"/>
      <c r="M38">
        <v>0</v>
      </c>
      <c r="N38">
        <v>0</v>
      </c>
      <c r="O38">
        <v>0</v>
      </c>
      <c r="P38">
        <v>0</v>
      </c>
      <c r="Q38">
        <v>0</v>
      </c>
      <c r="R38" t="e">
        <v>#DIV/0!</v>
      </c>
    </row>
    <row r="39" spans="1:18" ht="15.5">
      <c r="A39" s="31" t="s">
        <v>692</v>
      </c>
      <c r="B39" s="32" t="s">
        <v>693</v>
      </c>
      <c r="C39" s="32" t="s">
        <v>778</v>
      </c>
      <c r="D39" s="33" t="s">
        <v>779</v>
      </c>
      <c r="E39" s="32" t="s">
        <v>780</v>
      </c>
      <c r="F39" s="33" t="s">
        <v>781</v>
      </c>
      <c r="G39" s="11">
        <v>0</v>
      </c>
      <c r="H39">
        <v>0.5</v>
      </c>
      <c r="I39">
        <v>0.1</v>
      </c>
      <c r="J39">
        <v>0.9</v>
      </c>
      <c r="K39" s="1">
        <v>0.1</v>
      </c>
      <c r="L39" s="1"/>
      <c r="M39">
        <v>0</v>
      </c>
      <c r="N39">
        <v>0</v>
      </c>
      <c r="O39">
        <v>0</v>
      </c>
      <c r="P39">
        <v>0</v>
      </c>
      <c r="Q39">
        <v>0</v>
      </c>
      <c r="R39" t="e">
        <v>#DIV/0!</v>
      </c>
    </row>
    <row r="40" spans="1:18" ht="15.5">
      <c r="A40" s="31" t="s">
        <v>692</v>
      </c>
      <c r="B40" s="32" t="s">
        <v>693</v>
      </c>
      <c r="C40" s="32" t="s">
        <v>778</v>
      </c>
      <c r="D40" s="33" t="s">
        <v>779</v>
      </c>
      <c r="E40" s="32" t="s">
        <v>782</v>
      </c>
      <c r="F40" s="33" t="s">
        <v>783</v>
      </c>
      <c r="G40" s="11">
        <v>1499</v>
      </c>
      <c r="H40">
        <v>0.5</v>
      </c>
      <c r="I40">
        <v>0.1</v>
      </c>
      <c r="J40">
        <v>0.9</v>
      </c>
      <c r="K40" s="1">
        <v>0.1</v>
      </c>
      <c r="L40" s="1"/>
      <c r="M40">
        <v>72</v>
      </c>
      <c r="N40">
        <v>72</v>
      </c>
      <c r="O40">
        <v>65</v>
      </c>
      <c r="P40">
        <v>7</v>
      </c>
      <c r="Q40">
        <v>12</v>
      </c>
      <c r="R40">
        <v>0.52910613184237654</v>
      </c>
    </row>
    <row r="41" spans="1:18" ht="15.5">
      <c r="A41" s="31" t="s">
        <v>692</v>
      </c>
      <c r="B41" s="32" t="s">
        <v>693</v>
      </c>
      <c r="C41" s="32" t="s">
        <v>778</v>
      </c>
      <c r="D41" s="33" t="s">
        <v>779</v>
      </c>
      <c r="E41" s="32" t="s">
        <v>784</v>
      </c>
      <c r="F41" s="33" t="s">
        <v>785</v>
      </c>
      <c r="G41" s="11">
        <v>0</v>
      </c>
      <c r="H41">
        <v>0.5</v>
      </c>
      <c r="I41">
        <v>0.1</v>
      </c>
      <c r="J41">
        <v>0.9</v>
      </c>
      <c r="K41" s="1">
        <v>0.1</v>
      </c>
      <c r="L41" s="1"/>
      <c r="M41">
        <v>0</v>
      </c>
      <c r="N41">
        <v>0</v>
      </c>
      <c r="O41">
        <v>0</v>
      </c>
      <c r="P41">
        <v>0</v>
      </c>
      <c r="Q41">
        <v>0</v>
      </c>
      <c r="R41" t="e">
        <v>#DIV/0!</v>
      </c>
    </row>
    <row r="42" spans="1:18" ht="15.5">
      <c r="A42" s="31" t="s">
        <v>692</v>
      </c>
      <c r="B42" s="32" t="s">
        <v>693</v>
      </c>
      <c r="C42" s="32" t="s">
        <v>786</v>
      </c>
      <c r="D42" s="33" t="s">
        <v>787</v>
      </c>
      <c r="E42" s="32" t="s">
        <v>788</v>
      </c>
      <c r="F42" s="33" t="s">
        <v>789</v>
      </c>
      <c r="G42" s="11">
        <v>0</v>
      </c>
      <c r="H42">
        <v>0.5</v>
      </c>
      <c r="I42">
        <v>0.1</v>
      </c>
      <c r="J42">
        <v>0.9</v>
      </c>
      <c r="K42" s="1">
        <v>0.1</v>
      </c>
      <c r="L42" s="1"/>
      <c r="M42">
        <v>0</v>
      </c>
      <c r="N42">
        <v>0</v>
      </c>
      <c r="O42">
        <v>0</v>
      </c>
      <c r="P42">
        <v>0</v>
      </c>
      <c r="Q42">
        <v>0</v>
      </c>
      <c r="R42" t="e">
        <v>#DIV/0!</v>
      </c>
    </row>
    <row r="43" spans="1:18" ht="15.5">
      <c r="A43" s="31" t="s">
        <v>692</v>
      </c>
      <c r="B43" s="32" t="s">
        <v>693</v>
      </c>
      <c r="C43" s="32" t="s">
        <v>786</v>
      </c>
      <c r="D43" s="33" t="s">
        <v>787</v>
      </c>
      <c r="E43" s="32" t="s">
        <v>790</v>
      </c>
      <c r="F43" s="33" t="s">
        <v>791</v>
      </c>
      <c r="G43" s="11">
        <v>0</v>
      </c>
      <c r="H43">
        <v>0.5</v>
      </c>
      <c r="I43">
        <v>0.1</v>
      </c>
      <c r="J43">
        <v>0.9</v>
      </c>
      <c r="K43" s="1">
        <v>0.1</v>
      </c>
      <c r="L43" s="1"/>
      <c r="M43">
        <v>0</v>
      </c>
      <c r="N43">
        <v>0</v>
      </c>
      <c r="O43">
        <v>0</v>
      </c>
      <c r="P43">
        <v>0</v>
      </c>
      <c r="Q43">
        <v>0</v>
      </c>
      <c r="R43" t="e">
        <v>#DIV/0!</v>
      </c>
    </row>
    <row r="44" spans="1:18" ht="15.5">
      <c r="A44" s="31" t="s">
        <v>692</v>
      </c>
      <c r="B44" s="32" t="s">
        <v>693</v>
      </c>
      <c r="C44" s="32" t="s">
        <v>786</v>
      </c>
      <c r="D44" s="33" t="s">
        <v>787</v>
      </c>
      <c r="E44" s="32" t="s">
        <v>792</v>
      </c>
      <c r="F44" s="33" t="s">
        <v>793</v>
      </c>
      <c r="G44" s="11">
        <v>0</v>
      </c>
      <c r="H44">
        <v>0.5</v>
      </c>
      <c r="I44">
        <v>0.1</v>
      </c>
      <c r="J44">
        <v>0.9</v>
      </c>
      <c r="K44" s="1">
        <v>0.1</v>
      </c>
      <c r="L44" s="1"/>
      <c r="M44">
        <v>0</v>
      </c>
      <c r="N44">
        <v>0</v>
      </c>
      <c r="O44">
        <v>0</v>
      </c>
      <c r="P44">
        <v>0</v>
      </c>
      <c r="Q44">
        <v>0</v>
      </c>
      <c r="R44" t="e">
        <v>#DIV/0!</v>
      </c>
    </row>
    <row r="45" spans="1:18" ht="15.5">
      <c r="A45" s="31" t="s">
        <v>692</v>
      </c>
      <c r="B45" s="32" t="s">
        <v>693</v>
      </c>
      <c r="C45" s="32" t="s">
        <v>786</v>
      </c>
      <c r="D45" s="33" t="s">
        <v>787</v>
      </c>
      <c r="E45" s="32" t="s">
        <v>794</v>
      </c>
      <c r="F45" s="33" t="s">
        <v>795</v>
      </c>
      <c r="G45" s="11">
        <v>112</v>
      </c>
      <c r="H45">
        <v>0.5</v>
      </c>
      <c r="I45">
        <v>0.1</v>
      </c>
      <c r="J45">
        <v>0.9</v>
      </c>
      <c r="K45" s="1">
        <v>0.1</v>
      </c>
      <c r="L45" s="1"/>
      <c r="M45">
        <v>47</v>
      </c>
      <c r="N45">
        <v>48</v>
      </c>
      <c r="O45">
        <v>43</v>
      </c>
      <c r="P45">
        <v>5</v>
      </c>
      <c r="Q45">
        <v>8</v>
      </c>
      <c r="R45">
        <v>5.9299419712821384E-2</v>
      </c>
    </row>
    <row r="46" spans="1:18" ht="15.5">
      <c r="A46" s="31" t="s">
        <v>692</v>
      </c>
      <c r="B46" s="32" t="s">
        <v>693</v>
      </c>
      <c r="C46" s="32" t="s">
        <v>786</v>
      </c>
      <c r="D46" s="33" t="s">
        <v>787</v>
      </c>
      <c r="E46" s="32" t="s">
        <v>796</v>
      </c>
      <c r="F46" s="33" t="s">
        <v>797</v>
      </c>
      <c r="G46" s="11">
        <v>0</v>
      </c>
      <c r="H46">
        <v>0.5</v>
      </c>
      <c r="I46">
        <v>0.1</v>
      </c>
      <c r="J46">
        <v>0.9</v>
      </c>
      <c r="K46" s="1">
        <v>0.1</v>
      </c>
      <c r="L46" s="1"/>
      <c r="M46">
        <v>0</v>
      </c>
      <c r="N46">
        <v>0</v>
      </c>
      <c r="O46">
        <v>0</v>
      </c>
      <c r="P46">
        <v>0</v>
      </c>
      <c r="Q46">
        <v>0</v>
      </c>
      <c r="R46" t="e">
        <v>#DIV/0!</v>
      </c>
    </row>
    <row r="47" spans="1:18" ht="15.5">
      <c r="A47" s="31" t="s">
        <v>692</v>
      </c>
      <c r="B47" s="32" t="s">
        <v>693</v>
      </c>
      <c r="C47" s="32" t="s">
        <v>786</v>
      </c>
      <c r="D47" s="33" t="s">
        <v>787</v>
      </c>
      <c r="E47" s="32" t="s">
        <v>798</v>
      </c>
      <c r="F47" s="33" t="s">
        <v>799</v>
      </c>
      <c r="G47" s="11">
        <v>262</v>
      </c>
      <c r="H47">
        <v>0.5</v>
      </c>
      <c r="I47">
        <v>0.1</v>
      </c>
      <c r="J47">
        <v>0.9</v>
      </c>
      <c r="K47" s="1">
        <v>0.1</v>
      </c>
      <c r="L47" s="1"/>
      <c r="M47">
        <v>60</v>
      </c>
      <c r="N47">
        <v>60</v>
      </c>
      <c r="O47">
        <v>54</v>
      </c>
      <c r="P47">
        <v>6</v>
      </c>
      <c r="Q47">
        <v>10</v>
      </c>
      <c r="R47">
        <v>0.11097462831970858</v>
      </c>
    </row>
    <row r="48" spans="1:18" ht="15.5">
      <c r="A48" s="36" t="s">
        <v>692</v>
      </c>
      <c r="B48" s="37" t="s">
        <v>693</v>
      </c>
      <c r="C48" s="37" t="s">
        <v>786</v>
      </c>
      <c r="D48" s="38" t="s">
        <v>787</v>
      </c>
      <c r="E48" s="37" t="s">
        <v>800</v>
      </c>
      <c r="F48" s="38" t="s">
        <v>801</v>
      </c>
      <c r="G48" s="11">
        <v>16409</v>
      </c>
      <c r="H48">
        <v>0.5</v>
      </c>
      <c r="I48">
        <v>0.1</v>
      </c>
      <c r="J48">
        <v>0.9</v>
      </c>
      <c r="K48" s="1">
        <v>0.1</v>
      </c>
      <c r="L48" s="1"/>
      <c r="M48">
        <v>74</v>
      </c>
      <c r="N48">
        <v>78</v>
      </c>
      <c r="O48">
        <v>67</v>
      </c>
      <c r="P48">
        <v>11</v>
      </c>
      <c r="Q48">
        <v>13</v>
      </c>
      <c r="R48">
        <v>5.3463965827894837</v>
      </c>
    </row>
    <row r="49" spans="1:18" ht="15.5">
      <c r="A49" s="41" t="s">
        <v>802</v>
      </c>
      <c r="B49" s="42" t="s">
        <v>803</v>
      </c>
      <c r="C49" s="42" t="s">
        <v>804</v>
      </c>
      <c r="D49" s="42" t="s">
        <v>805</v>
      </c>
      <c r="E49" s="42"/>
      <c r="F49" s="43"/>
      <c r="G49" s="11">
        <v>0</v>
      </c>
      <c r="M49">
        <v>0</v>
      </c>
      <c r="N49">
        <v>0</v>
      </c>
      <c r="O49">
        <v>0</v>
      </c>
      <c r="P49">
        <v>0</v>
      </c>
      <c r="Q49">
        <v>0</v>
      </c>
      <c r="R49" t="e">
        <v>#DIV/0!</v>
      </c>
    </row>
    <row r="50" spans="1:18">
      <c r="C50"/>
      <c r="D50"/>
      <c r="E50"/>
      <c r="F50"/>
    </row>
    <row r="51" spans="1:18">
      <c r="C51"/>
      <c r="D51"/>
      <c r="E51"/>
      <c r="F51"/>
    </row>
    <row r="52" spans="1:18">
      <c r="C52"/>
      <c r="D52"/>
      <c r="E52"/>
      <c r="F52"/>
    </row>
    <row r="53" spans="1:18">
      <c r="C53"/>
      <c r="D53"/>
      <c r="E53"/>
      <c r="F53"/>
    </row>
    <row r="54" spans="1:18">
      <c r="C54"/>
      <c r="D54"/>
      <c r="E54"/>
      <c r="F54"/>
    </row>
    <row r="55" spans="1:18">
      <c r="C55"/>
      <c r="D55"/>
      <c r="E55"/>
      <c r="F55"/>
    </row>
    <row r="56" spans="1:18">
      <c r="C56"/>
      <c r="D56"/>
      <c r="E56"/>
      <c r="F56"/>
    </row>
    <row r="57" spans="1:18">
      <c r="C57"/>
      <c r="D57"/>
      <c r="E57"/>
      <c r="F57"/>
    </row>
    <row r="58" spans="1:18">
      <c r="C58"/>
      <c r="D58"/>
      <c r="E58"/>
      <c r="F58"/>
    </row>
    <row r="59" spans="1:18">
      <c r="C59"/>
      <c r="D59"/>
      <c r="E59"/>
      <c r="F59"/>
    </row>
    <row r="60" spans="1:18">
      <c r="C60"/>
      <c r="D60"/>
      <c r="E60"/>
      <c r="F60"/>
    </row>
    <row r="61" spans="1:18">
      <c r="C61"/>
      <c r="D61"/>
      <c r="E61"/>
      <c r="F61"/>
    </row>
    <row r="62" spans="1:18">
      <c r="C62"/>
      <c r="D62"/>
      <c r="E62"/>
      <c r="F62"/>
    </row>
    <row r="63" spans="1:18">
      <c r="C63"/>
      <c r="D63"/>
      <c r="E63"/>
      <c r="F63"/>
    </row>
    <row r="64" spans="1:18">
      <c r="C64"/>
      <c r="D64"/>
      <c r="E64"/>
      <c r="F64"/>
    </row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  <row r="549" customFormat="1"/>
    <row r="550" customFormat="1"/>
    <row r="551" customFormat="1"/>
    <row r="552" customFormat="1"/>
    <row r="553" customFormat="1"/>
    <row r="554" customFormat="1"/>
    <row r="555" customFormat="1"/>
    <row r="556" customFormat="1"/>
    <row r="557" customFormat="1"/>
    <row r="558" customFormat="1"/>
    <row r="559" customFormat="1"/>
    <row r="560" customFormat="1"/>
    <row r="561" customFormat="1"/>
    <row r="562" customFormat="1"/>
    <row r="563" customFormat="1"/>
    <row r="564" customFormat="1"/>
    <row r="565" customFormat="1"/>
    <row r="566" customFormat="1"/>
    <row r="567" customFormat="1"/>
    <row r="568" customFormat="1"/>
    <row r="569" customFormat="1"/>
    <row r="570" customFormat="1"/>
    <row r="571" customFormat="1"/>
    <row r="572" customFormat="1"/>
    <row r="573" customFormat="1"/>
    <row r="574" customFormat="1"/>
    <row r="575" customFormat="1"/>
    <row r="576" customFormat="1"/>
    <row r="577" customFormat="1"/>
    <row r="578" customFormat="1"/>
    <row r="579" customFormat="1"/>
    <row r="580" customFormat="1"/>
    <row r="581" customFormat="1"/>
    <row r="582" customFormat="1"/>
    <row r="583" customFormat="1"/>
    <row r="584" customFormat="1"/>
    <row r="585" customFormat="1"/>
    <row r="586" customFormat="1"/>
    <row r="587" customFormat="1"/>
    <row r="588" customFormat="1"/>
    <row r="589" customFormat="1"/>
    <row r="590" customFormat="1"/>
    <row r="591" customFormat="1"/>
    <row r="592" customFormat="1"/>
    <row r="593" customFormat="1"/>
    <row r="594" customFormat="1"/>
    <row r="595" customFormat="1"/>
    <row r="596" customFormat="1"/>
    <row r="597" customFormat="1"/>
    <row r="598" customFormat="1"/>
    <row r="599" customFormat="1"/>
    <row r="600" customFormat="1"/>
    <row r="601" customFormat="1"/>
    <row r="602" customFormat="1"/>
    <row r="603" customFormat="1"/>
    <row r="604" customFormat="1"/>
    <row r="605" customFormat="1"/>
    <row r="606" customFormat="1"/>
    <row r="607" customFormat="1"/>
    <row r="608" customFormat="1"/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21" customFormat="1"/>
    <row r="622" customFormat="1"/>
    <row r="623" customFormat="1"/>
    <row r="624" customFormat="1"/>
    <row r="625" customFormat="1"/>
    <row r="626" customFormat="1"/>
    <row r="627" customFormat="1"/>
    <row r="628" customFormat="1"/>
    <row r="629" customFormat="1"/>
    <row r="630" customFormat="1"/>
    <row r="631" customFormat="1"/>
    <row r="632" customFormat="1"/>
    <row r="633" customFormat="1"/>
    <row r="634" customFormat="1"/>
    <row r="635" customFormat="1"/>
    <row r="636" customFormat="1"/>
    <row r="637" customFormat="1"/>
    <row r="638" customFormat="1"/>
    <row r="639" customFormat="1"/>
    <row r="640" customFormat="1"/>
    <row r="641" customFormat="1"/>
    <row r="642" customFormat="1"/>
    <row r="643" customFormat="1"/>
    <row r="644" customFormat="1"/>
    <row r="645" customFormat="1"/>
    <row r="646" customFormat="1"/>
    <row r="647" customFormat="1"/>
    <row r="648" customFormat="1"/>
    <row r="649" customFormat="1"/>
    <row r="650" customFormat="1"/>
    <row r="651" customFormat="1"/>
    <row r="652" customFormat="1"/>
    <row r="653" customFormat="1"/>
    <row r="654" customFormat="1"/>
    <row r="655" customFormat="1"/>
    <row r="656" customFormat="1"/>
    <row r="657" customFormat="1"/>
    <row r="658" customFormat="1"/>
    <row r="659" customFormat="1"/>
    <row r="660" customFormat="1"/>
    <row r="661" customFormat="1"/>
    <row r="662" customFormat="1"/>
    <row r="663" customFormat="1"/>
    <row r="664" customFormat="1"/>
    <row r="665" customFormat="1"/>
    <row r="666" customFormat="1"/>
    <row r="667" customFormat="1"/>
    <row r="668" customFormat="1"/>
    <row r="669" customFormat="1"/>
    <row r="670" customFormat="1"/>
    <row r="671" customFormat="1"/>
    <row r="672" customFormat="1"/>
    <row r="673" customFormat="1"/>
    <row r="674" customFormat="1"/>
    <row r="675" customFormat="1"/>
    <row r="676" customFormat="1"/>
    <row r="677" customFormat="1"/>
    <row r="678" customFormat="1"/>
    <row r="679" customFormat="1"/>
    <row r="680" customFormat="1"/>
    <row r="681" customFormat="1"/>
    <row r="682" customFormat="1"/>
    <row r="683" customFormat="1"/>
    <row r="684" customFormat="1"/>
    <row r="685" customFormat="1"/>
    <row r="686" customFormat="1"/>
    <row r="687" customFormat="1"/>
    <row r="688" customFormat="1"/>
    <row r="689" customFormat="1"/>
    <row r="690" customFormat="1"/>
    <row r="691" customFormat="1"/>
    <row r="692" customFormat="1"/>
    <row r="693" customFormat="1"/>
    <row r="694" customFormat="1"/>
    <row r="695" customFormat="1"/>
    <row r="696" customFormat="1"/>
    <row r="697" customFormat="1"/>
    <row r="698" customFormat="1"/>
    <row r="699" customFormat="1"/>
    <row r="700" customFormat="1"/>
    <row r="701" customFormat="1"/>
    <row r="702" customFormat="1"/>
    <row r="703" customFormat="1"/>
    <row r="704" customFormat="1"/>
    <row r="705" customFormat="1"/>
    <row r="706" customFormat="1"/>
    <row r="707" customFormat="1"/>
    <row r="708" customFormat="1"/>
    <row r="709" customFormat="1"/>
    <row r="710" customFormat="1"/>
    <row r="711" customFormat="1"/>
    <row r="712" customFormat="1"/>
    <row r="713" customFormat="1"/>
    <row r="714" customFormat="1"/>
    <row r="715" customFormat="1"/>
    <row r="716" customFormat="1"/>
    <row r="717" customFormat="1"/>
    <row r="718" customFormat="1"/>
    <row r="719" customFormat="1"/>
    <row r="720" customFormat="1"/>
    <row r="721" customFormat="1"/>
    <row r="722" customFormat="1"/>
    <row r="723" customFormat="1"/>
    <row r="724" customFormat="1"/>
    <row r="725" customFormat="1"/>
    <row r="726" customFormat="1"/>
    <row r="727" customFormat="1"/>
    <row r="728" customFormat="1"/>
    <row r="729" customFormat="1"/>
    <row r="730" customFormat="1"/>
    <row r="731" customFormat="1"/>
    <row r="732" customFormat="1"/>
    <row r="733" customFormat="1"/>
    <row r="734" customFormat="1"/>
    <row r="735" customFormat="1"/>
    <row r="736" customFormat="1"/>
    <row r="737" customFormat="1"/>
    <row r="738" customFormat="1"/>
    <row r="739" customFormat="1"/>
    <row r="740" customFormat="1"/>
    <row r="741" customFormat="1"/>
    <row r="742" customFormat="1"/>
    <row r="743" customFormat="1"/>
    <row r="744" customFormat="1"/>
    <row r="745" customFormat="1"/>
    <row r="746" customFormat="1"/>
    <row r="747" customFormat="1"/>
    <row r="748" customFormat="1"/>
    <row r="749" customFormat="1"/>
    <row r="750" customFormat="1"/>
    <row r="751" customFormat="1"/>
    <row r="752" customFormat="1"/>
    <row r="753" customFormat="1"/>
    <row r="754" customFormat="1"/>
    <row r="755" customFormat="1"/>
    <row r="756" customFormat="1"/>
    <row r="757" customFormat="1"/>
    <row r="758" customFormat="1"/>
    <row r="759" customFormat="1"/>
    <row r="760" customFormat="1"/>
    <row r="761" customFormat="1"/>
    <row r="762" customFormat="1"/>
    <row r="763" customFormat="1"/>
    <row r="764" customFormat="1"/>
    <row r="765" customFormat="1"/>
    <row r="766" customFormat="1"/>
    <row r="767" customFormat="1"/>
    <row r="768" customFormat="1"/>
    <row r="769" customFormat="1"/>
    <row r="770" customFormat="1"/>
    <row r="771" customFormat="1"/>
    <row r="772" customFormat="1"/>
    <row r="773" customFormat="1"/>
    <row r="774" customFormat="1"/>
    <row r="775" customFormat="1"/>
    <row r="776" customFormat="1"/>
    <row r="777" customFormat="1"/>
  </sheetData>
  <autoFilter ref="G1:R48" xr:uid="{28E3EC67-C13B-4331-A28E-49C922A2FD2E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C04CD-2A0C-461E-8751-12D2102DC9F4}">
  <dimension ref="A1:C10"/>
  <sheetViews>
    <sheetView workbookViewId="0">
      <selection activeCell="C9" sqref="C9"/>
    </sheetView>
  </sheetViews>
  <sheetFormatPr defaultRowHeight="13"/>
  <cols>
    <col min="1" max="1" width="36" customWidth="1"/>
    <col min="2" max="2" width="29.109375" customWidth="1"/>
    <col min="3" max="3" width="33.109375" customWidth="1"/>
  </cols>
  <sheetData>
    <row r="1" spans="1:3" ht="14">
      <c r="A1" s="25" t="s">
        <v>12</v>
      </c>
      <c r="B1" s="25" t="s">
        <v>13</v>
      </c>
      <c r="C1" s="25" t="s">
        <v>14</v>
      </c>
    </row>
    <row r="2" spans="1:3">
      <c r="A2" s="23"/>
      <c r="B2" s="23"/>
      <c r="C2" s="23"/>
    </row>
    <row r="3" spans="1:3">
      <c r="A3" s="23"/>
      <c r="B3" s="23"/>
      <c r="C3" s="23"/>
    </row>
    <row r="4" spans="1:3">
      <c r="A4" s="23"/>
      <c r="B4" s="23"/>
      <c r="C4" s="23"/>
    </row>
    <row r="5" spans="1:3">
      <c r="A5" s="23"/>
      <c r="B5" s="23"/>
      <c r="C5" s="23"/>
    </row>
    <row r="6" spans="1:3">
      <c r="A6" s="23"/>
      <c r="B6" s="23"/>
      <c r="C6" s="23"/>
    </row>
    <row r="7" spans="1:3">
      <c r="A7" s="23"/>
      <c r="B7" s="23"/>
      <c r="C7" s="23"/>
    </row>
    <row r="8" spans="1:3">
      <c r="A8" s="23"/>
      <c r="B8" s="26"/>
      <c r="C8" s="24"/>
    </row>
    <row r="9" spans="1:3">
      <c r="A9" s="23"/>
      <c r="B9" s="23"/>
      <c r="C9" s="23"/>
    </row>
    <row r="10" spans="1:3">
      <c r="A10" s="23"/>
      <c r="B10" s="26"/>
      <c r="C10" s="2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C96BE-9F2F-4E28-A48A-7187E12DD7A9}">
  <dimension ref="A1:J300"/>
  <sheetViews>
    <sheetView workbookViewId="0">
      <selection activeCell="I4" sqref="I4"/>
    </sheetView>
  </sheetViews>
  <sheetFormatPr defaultRowHeight="13"/>
  <cols>
    <col min="1" max="1" width="33.44140625" customWidth="1"/>
    <col min="2" max="2" width="25.109375" customWidth="1"/>
    <col min="3" max="3" width="31.44140625" customWidth="1"/>
    <col min="4" max="4" width="27.109375" customWidth="1"/>
    <col min="5" max="5" width="22.77734375" customWidth="1"/>
    <col min="6" max="6" width="19.109375" customWidth="1"/>
    <col min="9" max="9" width="28.109375" customWidth="1"/>
    <col min="10" max="10" width="19.77734375" customWidth="1"/>
  </cols>
  <sheetData>
    <row r="1" spans="1:10">
      <c r="A1" t="s">
        <v>77</v>
      </c>
      <c r="B1" t="s">
        <v>78</v>
      </c>
      <c r="C1" t="s">
        <v>15</v>
      </c>
      <c r="D1" t="s">
        <v>79</v>
      </c>
      <c r="E1" t="s">
        <v>80</v>
      </c>
      <c r="F1" t="s">
        <v>678</v>
      </c>
      <c r="I1" t="s">
        <v>679</v>
      </c>
      <c r="J1" t="s">
        <v>81</v>
      </c>
    </row>
    <row r="2" spans="1:10">
      <c r="A2" t="s">
        <v>82</v>
      </c>
      <c r="B2" t="s">
        <v>83</v>
      </c>
      <c r="C2" t="s">
        <v>26</v>
      </c>
      <c r="D2">
        <v>624409.14384141809</v>
      </c>
      <c r="E2">
        <v>50514.389905441065</v>
      </c>
      <c r="F2" s="22">
        <f>E2/D2</f>
        <v>8.0899503800780759E-2</v>
      </c>
      <c r="G2" t="e">
        <f>VLOOKUP(C2,host!F:O,9,0)</f>
        <v>#N/A</v>
      </c>
      <c r="H2" t="e">
        <f>+G2*F2</f>
        <v>#N/A</v>
      </c>
      <c r="I2" t="e">
        <f>ROUND(H2,0)</f>
        <v>#N/A</v>
      </c>
      <c r="J2" t="e">
        <f>ROUND(I2/4,0)</f>
        <v>#N/A</v>
      </c>
    </row>
    <row r="3" spans="1:10">
      <c r="A3" t="s">
        <v>84</v>
      </c>
      <c r="B3" t="s">
        <v>85</v>
      </c>
      <c r="C3" t="s">
        <v>27</v>
      </c>
      <c r="D3">
        <v>16079.323924378437</v>
      </c>
      <c r="E3">
        <v>14629.305711761939</v>
      </c>
      <c r="F3" s="22">
        <f t="shared" ref="F3:F66" si="0">E3/D3</f>
        <v>0.90982094648780143</v>
      </c>
      <c r="G3" t="e">
        <f>VLOOKUP(C3,host!F:O,9,0)</f>
        <v>#N/A</v>
      </c>
      <c r="H3" t="e">
        <f t="shared" ref="H3:H66" si="1">+G3*F3</f>
        <v>#N/A</v>
      </c>
      <c r="I3" t="e">
        <f t="shared" ref="I3:I66" si="2">ROUND(H3,0)</f>
        <v>#N/A</v>
      </c>
      <c r="J3" t="e">
        <f t="shared" ref="J3:J66" si="3">ROUND(I3/4,0)</f>
        <v>#N/A</v>
      </c>
    </row>
    <row r="4" spans="1:10">
      <c r="A4" t="s">
        <v>86</v>
      </c>
      <c r="B4" t="s">
        <v>87</v>
      </c>
      <c r="C4" t="s">
        <v>26</v>
      </c>
      <c r="D4">
        <v>624409.14384141809</v>
      </c>
      <c r="E4">
        <v>65166.699688321285</v>
      </c>
      <c r="F4" s="22">
        <f t="shared" si="0"/>
        <v>0.10436538338854266</v>
      </c>
      <c r="G4" t="e">
        <f>VLOOKUP(C4,host!F:O,9,0)</f>
        <v>#N/A</v>
      </c>
      <c r="H4" t="e">
        <f t="shared" si="1"/>
        <v>#N/A</v>
      </c>
      <c r="I4" t="e">
        <f t="shared" si="2"/>
        <v>#N/A</v>
      </c>
      <c r="J4" t="e">
        <f t="shared" si="3"/>
        <v>#N/A</v>
      </c>
    </row>
    <row r="5" spans="1:10">
      <c r="A5" t="s">
        <v>88</v>
      </c>
      <c r="B5" t="s">
        <v>89</v>
      </c>
      <c r="C5" t="s">
        <v>26</v>
      </c>
      <c r="D5">
        <v>624409.14384141809</v>
      </c>
      <c r="E5">
        <v>75279.507261008956</v>
      </c>
      <c r="F5" s="22">
        <f t="shared" si="0"/>
        <v>0.12056118652888878</v>
      </c>
      <c r="G5" t="e">
        <f>VLOOKUP(C5,host!F:O,9,0)</f>
        <v>#N/A</v>
      </c>
      <c r="H5" t="e">
        <f t="shared" si="1"/>
        <v>#N/A</v>
      </c>
      <c r="I5" t="e">
        <f t="shared" si="2"/>
        <v>#N/A</v>
      </c>
      <c r="J5" t="e">
        <f t="shared" si="3"/>
        <v>#N/A</v>
      </c>
    </row>
    <row r="6" spans="1:10">
      <c r="A6" t="s">
        <v>90</v>
      </c>
      <c r="B6" t="s">
        <v>91</v>
      </c>
      <c r="C6" t="s">
        <v>28</v>
      </c>
      <c r="D6">
        <v>198221.46019248673</v>
      </c>
      <c r="E6">
        <v>10771.427449977182</v>
      </c>
      <c r="F6" s="22">
        <f t="shared" si="0"/>
        <v>5.4340369804144223E-2</v>
      </c>
      <c r="G6" t="e">
        <f>VLOOKUP(C6,host!F:O,9,0)</f>
        <v>#N/A</v>
      </c>
      <c r="H6" t="e">
        <f t="shared" si="1"/>
        <v>#N/A</v>
      </c>
      <c r="I6" t="e">
        <f t="shared" si="2"/>
        <v>#N/A</v>
      </c>
      <c r="J6" t="e">
        <f t="shared" si="3"/>
        <v>#N/A</v>
      </c>
    </row>
    <row r="7" spans="1:10">
      <c r="A7" t="s">
        <v>92</v>
      </c>
      <c r="B7" t="s">
        <v>93</v>
      </c>
      <c r="C7" t="s">
        <v>28</v>
      </c>
      <c r="D7">
        <v>198221.46019248673</v>
      </c>
      <c r="E7">
        <v>30653.843816050718</v>
      </c>
      <c r="F7" s="22">
        <f t="shared" si="0"/>
        <v>0.15464442541329138</v>
      </c>
      <c r="G7" t="e">
        <f>VLOOKUP(C7,host!F:O,9,0)</f>
        <v>#N/A</v>
      </c>
      <c r="H7" t="e">
        <f t="shared" si="1"/>
        <v>#N/A</v>
      </c>
      <c r="I7" t="e">
        <f t="shared" si="2"/>
        <v>#N/A</v>
      </c>
      <c r="J7" t="e">
        <f t="shared" si="3"/>
        <v>#N/A</v>
      </c>
    </row>
    <row r="8" spans="1:10">
      <c r="A8" t="s">
        <v>94</v>
      </c>
      <c r="B8" t="s">
        <v>95</v>
      </c>
      <c r="C8" t="s">
        <v>27</v>
      </c>
      <c r="D8">
        <v>16079.323924378437</v>
      </c>
      <c r="E8">
        <v>635.72330853132314</v>
      </c>
      <c r="F8" s="22">
        <f t="shared" si="0"/>
        <v>3.9536693925761417E-2</v>
      </c>
      <c r="G8" t="e">
        <f>VLOOKUP(C8,host!F:O,9,0)</f>
        <v>#N/A</v>
      </c>
      <c r="H8" t="e">
        <f t="shared" si="1"/>
        <v>#N/A</v>
      </c>
      <c r="I8" t="e">
        <f t="shared" si="2"/>
        <v>#N/A</v>
      </c>
      <c r="J8" t="e">
        <f t="shared" si="3"/>
        <v>#N/A</v>
      </c>
    </row>
    <row r="9" spans="1:10">
      <c r="A9" t="s">
        <v>96</v>
      </c>
      <c r="B9" t="s">
        <v>97</v>
      </c>
      <c r="C9" t="s">
        <v>28</v>
      </c>
      <c r="D9">
        <v>198221.46019248673</v>
      </c>
      <c r="E9">
        <v>5022.1926077721964</v>
      </c>
      <c r="F9" s="22">
        <f t="shared" si="0"/>
        <v>2.5336270870446119E-2</v>
      </c>
      <c r="G9" t="e">
        <f>VLOOKUP(C9,host!F:O,9,0)</f>
        <v>#N/A</v>
      </c>
      <c r="H9" t="e">
        <f t="shared" si="1"/>
        <v>#N/A</v>
      </c>
      <c r="I9" t="e">
        <f t="shared" si="2"/>
        <v>#N/A</v>
      </c>
      <c r="J9" t="e">
        <f t="shared" si="3"/>
        <v>#N/A</v>
      </c>
    </row>
    <row r="10" spans="1:10">
      <c r="A10" t="s">
        <v>98</v>
      </c>
      <c r="B10" t="s">
        <v>99</v>
      </c>
      <c r="C10" t="s">
        <v>27</v>
      </c>
      <c r="D10">
        <v>16079.323924378437</v>
      </c>
      <c r="E10">
        <v>814.29490408517711</v>
      </c>
      <c r="F10" s="22">
        <f t="shared" si="0"/>
        <v>5.0642359586437306E-2</v>
      </c>
      <c r="G10" t="e">
        <f>VLOOKUP(C10,host!F:O,9,0)</f>
        <v>#N/A</v>
      </c>
      <c r="H10" t="e">
        <f t="shared" si="1"/>
        <v>#N/A</v>
      </c>
      <c r="I10" t="e">
        <f t="shared" si="2"/>
        <v>#N/A</v>
      </c>
      <c r="J10" t="e">
        <f t="shared" si="3"/>
        <v>#N/A</v>
      </c>
    </row>
    <row r="11" spans="1:10">
      <c r="A11" t="s">
        <v>100</v>
      </c>
      <c r="B11" t="s">
        <v>101</v>
      </c>
      <c r="C11" t="s">
        <v>26</v>
      </c>
      <c r="D11">
        <v>624409.14384141809</v>
      </c>
      <c r="E11">
        <v>147859.22042100303</v>
      </c>
      <c r="F11" s="22">
        <f t="shared" si="0"/>
        <v>0.23679861494557966</v>
      </c>
      <c r="G11" t="e">
        <f>VLOOKUP(C11,host!F:O,9,0)</f>
        <v>#N/A</v>
      </c>
      <c r="H11" t="e">
        <f t="shared" si="1"/>
        <v>#N/A</v>
      </c>
      <c r="I11" t="e">
        <f t="shared" si="2"/>
        <v>#N/A</v>
      </c>
      <c r="J11" t="e">
        <f t="shared" si="3"/>
        <v>#N/A</v>
      </c>
    </row>
    <row r="12" spans="1:10">
      <c r="A12" t="s">
        <v>102</v>
      </c>
      <c r="B12" t="s">
        <v>103</v>
      </c>
      <c r="C12" t="s">
        <v>28</v>
      </c>
      <c r="D12">
        <v>198221.46019248673</v>
      </c>
      <c r="E12">
        <v>11419.038895229049</v>
      </c>
      <c r="F12" s="22">
        <f t="shared" si="0"/>
        <v>5.7607480462208142E-2</v>
      </c>
      <c r="G12" t="e">
        <f>VLOOKUP(C12,host!F:O,9,0)</f>
        <v>#N/A</v>
      </c>
      <c r="H12" t="e">
        <f t="shared" si="1"/>
        <v>#N/A</v>
      </c>
      <c r="I12" t="e">
        <f t="shared" si="2"/>
        <v>#N/A</v>
      </c>
      <c r="J12" t="e">
        <f t="shared" si="3"/>
        <v>#N/A</v>
      </c>
    </row>
    <row r="13" spans="1:10">
      <c r="A13" t="s">
        <v>104</v>
      </c>
      <c r="B13" t="s">
        <v>105</v>
      </c>
      <c r="C13" t="s">
        <v>28</v>
      </c>
      <c r="D13">
        <v>198221.46019248673</v>
      </c>
      <c r="E13">
        <v>60075.030059292571</v>
      </c>
      <c r="F13" s="22">
        <f t="shared" si="0"/>
        <v>0.30307026293195283</v>
      </c>
      <c r="G13" t="e">
        <f>VLOOKUP(C13,host!F:O,9,0)</f>
        <v>#N/A</v>
      </c>
      <c r="H13" t="e">
        <f t="shared" si="1"/>
        <v>#N/A</v>
      </c>
      <c r="I13" t="e">
        <f t="shared" si="2"/>
        <v>#N/A</v>
      </c>
      <c r="J13" t="e">
        <f t="shared" si="3"/>
        <v>#N/A</v>
      </c>
    </row>
    <row r="14" spans="1:10">
      <c r="A14" t="s">
        <v>106</v>
      </c>
      <c r="B14" t="s">
        <v>107</v>
      </c>
      <c r="C14" t="s">
        <v>28</v>
      </c>
      <c r="D14">
        <v>198221.46019248673</v>
      </c>
      <c r="E14">
        <v>54432.314239040948</v>
      </c>
      <c r="F14" s="22">
        <f t="shared" si="0"/>
        <v>0.2746035378116144</v>
      </c>
      <c r="G14" t="e">
        <f>VLOOKUP(C14,host!F:O,9,0)</f>
        <v>#N/A</v>
      </c>
      <c r="H14" t="e">
        <f t="shared" si="1"/>
        <v>#N/A</v>
      </c>
      <c r="I14" t="e">
        <f t="shared" si="2"/>
        <v>#N/A</v>
      </c>
      <c r="J14" t="e">
        <f t="shared" si="3"/>
        <v>#N/A</v>
      </c>
    </row>
    <row r="15" spans="1:10">
      <c r="A15" t="s">
        <v>108</v>
      </c>
      <c r="B15" t="s">
        <v>109</v>
      </c>
      <c r="C15" t="s">
        <v>28</v>
      </c>
      <c r="D15">
        <v>198221.46019248673</v>
      </c>
      <c r="E15">
        <v>7032.2316823643469</v>
      </c>
      <c r="F15" s="22">
        <f t="shared" si="0"/>
        <v>3.5476641507612566E-2</v>
      </c>
      <c r="G15" t="e">
        <f>VLOOKUP(C15,host!F:O,9,0)</f>
        <v>#N/A</v>
      </c>
      <c r="H15" t="e">
        <f t="shared" si="1"/>
        <v>#N/A</v>
      </c>
      <c r="I15" t="e">
        <f t="shared" si="2"/>
        <v>#N/A</v>
      </c>
      <c r="J15" t="e">
        <f t="shared" si="3"/>
        <v>#N/A</v>
      </c>
    </row>
    <row r="16" spans="1:10">
      <c r="A16" t="s">
        <v>110</v>
      </c>
      <c r="B16" t="s">
        <v>111</v>
      </c>
      <c r="C16" t="s">
        <v>26</v>
      </c>
      <c r="D16">
        <v>624409.14384141809</v>
      </c>
      <c r="E16">
        <v>31562.309285925749</v>
      </c>
      <c r="F16" s="22">
        <f t="shared" si="0"/>
        <v>5.0547480922127019E-2</v>
      </c>
      <c r="G16" t="e">
        <f>VLOOKUP(C16,host!F:O,9,0)</f>
        <v>#N/A</v>
      </c>
      <c r="H16" t="e">
        <f t="shared" si="1"/>
        <v>#N/A</v>
      </c>
      <c r="I16" t="e">
        <f t="shared" si="2"/>
        <v>#N/A</v>
      </c>
      <c r="J16" t="e">
        <f t="shared" si="3"/>
        <v>#N/A</v>
      </c>
    </row>
    <row r="17" spans="1:10">
      <c r="A17" t="s">
        <v>112</v>
      </c>
      <c r="B17" t="s">
        <v>113</v>
      </c>
      <c r="C17" t="s">
        <v>26</v>
      </c>
      <c r="D17">
        <v>624409.14384141809</v>
      </c>
      <c r="E17">
        <v>76408.248842032641</v>
      </c>
      <c r="F17" s="22">
        <f t="shared" si="0"/>
        <v>0.12236888199932916</v>
      </c>
      <c r="G17" t="e">
        <f>VLOOKUP(C17,host!F:O,9,0)</f>
        <v>#N/A</v>
      </c>
      <c r="H17" t="e">
        <f t="shared" si="1"/>
        <v>#N/A</v>
      </c>
      <c r="I17" t="e">
        <f t="shared" si="2"/>
        <v>#N/A</v>
      </c>
      <c r="J17" t="e">
        <f t="shared" si="3"/>
        <v>#N/A</v>
      </c>
    </row>
    <row r="18" spans="1:10">
      <c r="A18" t="s">
        <v>114</v>
      </c>
      <c r="B18" t="s">
        <v>115</v>
      </c>
      <c r="C18" t="s">
        <v>26</v>
      </c>
      <c r="D18">
        <v>624409.14384141809</v>
      </c>
      <c r="E18">
        <v>150367.29492358351</v>
      </c>
      <c r="F18" s="22">
        <f t="shared" si="0"/>
        <v>0.24081533143238604</v>
      </c>
      <c r="G18" t="e">
        <f>VLOOKUP(C18,host!F:O,9,0)</f>
        <v>#N/A</v>
      </c>
      <c r="H18" t="e">
        <f t="shared" si="1"/>
        <v>#N/A</v>
      </c>
      <c r="I18" t="e">
        <f t="shared" si="2"/>
        <v>#N/A</v>
      </c>
      <c r="J18" t="e">
        <f t="shared" si="3"/>
        <v>#N/A</v>
      </c>
    </row>
    <row r="19" spans="1:10">
      <c r="A19" t="s">
        <v>116</v>
      </c>
      <c r="B19" t="s">
        <v>117</v>
      </c>
      <c r="C19" t="s">
        <v>28</v>
      </c>
      <c r="D19">
        <v>198221.46019248673</v>
      </c>
      <c r="E19">
        <v>3863.0561674046085</v>
      </c>
      <c r="F19" s="22">
        <f t="shared" si="0"/>
        <v>1.9488586975665068E-2</v>
      </c>
      <c r="G19" t="e">
        <f>VLOOKUP(C19,host!F:O,9,0)</f>
        <v>#N/A</v>
      </c>
      <c r="H19" t="e">
        <f t="shared" si="1"/>
        <v>#N/A</v>
      </c>
      <c r="I19" t="e">
        <f t="shared" si="2"/>
        <v>#N/A</v>
      </c>
      <c r="J19" t="e">
        <f t="shared" si="3"/>
        <v>#N/A</v>
      </c>
    </row>
    <row r="20" spans="1:10">
      <c r="A20" t="s">
        <v>118</v>
      </c>
      <c r="B20" t="s">
        <v>119</v>
      </c>
      <c r="C20" t="s">
        <v>28</v>
      </c>
      <c r="D20">
        <v>198221.46019248673</v>
      </c>
      <c r="E20">
        <v>9050.1382468569027</v>
      </c>
      <c r="F20" s="22">
        <f t="shared" si="0"/>
        <v>4.5656702549101362E-2</v>
      </c>
      <c r="G20" t="e">
        <f>VLOOKUP(C20,host!F:O,9,0)</f>
        <v>#N/A</v>
      </c>
      <c r="H20" t="e">
        <f t="shared" si="1"/>
        <v>#N/A</v>
      </c>
      <c r="I20" t="e">
        <f t="shared" si="2"/>
        <v>#N/A</v>
      </c>
      <c r="J20" t="e">
        <f t="shared" si="3"/>
        <v>#N/A</v>
      </c>
    </row>
    <row r="21" spans="1:10">
      <c r="A21" t="s">
        <v>120</v>
      </c>
      <c r="B21" t="s">
        <v>121</v>
      </c>
      <c r="C21" t="s">
        <v>29</v>
      </c>
      <c r="D21">
        <v>60472.318966618586</v>
      </c>
      <c r="E21">
        <v>5667.1863644602226</v>
      </c>
      <c r="F21" s="22">
        <f t="shared" si="0"/>
        <v>9.3715380215344063E-2</v>
      </c>
      <c r="G21" t="e">
        <f>VLOOKUP(C21,host!F:O,9,0)</f>
        <v>#N/A</v>
      </c>
      <c r="H21" t="e">
        <f t="shared" si="1"/>
        <v>#N/A</v>
      </c>
      <c r="I21" t="e">
        <f t="shared" si="2"/>
        <v>#N/A</v>
      </c>
      <c r="J21" t="e">
        <f t="shared" si="3"/>
        <v>#N/A</v>
      </c>
    </row>
    <row r="22" spans="1:10">
      <c r="A22" t="s">
        <v>122</v>
      </c>
      <c r="B22" t="s">
        <v>123</v>
      </c>
      <c r="C22" t="s">
        <v>29</v>
      </c>
      <c r="D22">
        <v>60472.318966618586</v>
      </c>
      <c r="E22">
        <v>8422.8382978186801</v>
      </c>
      <c r="F22" s="22">
        <f t="shared" si="0"/>
        <v>0.13928419550882748</v>
      </c>
      <c r="G22" t="e">
        <f>VLOOKUP(C22,host!F:O,9,0)</f>
        <v>#N/A</v>
      </c>
      <c r="H22" t="e">
        <f t="shared" si="1"/>
        <v>#N/A</v>
      </c>
      <c r="I22" t="e">
        <f t="shared" si="2"/>
        <v>#N/A</v>
      </c>
      <c r="J22" t="e">
        <f t="shared" si="3"/>
        <v>#N/A</v>
      </c>
    </row>
    <row r="23" spans="1:10">
      <c r="A23" t="s">
        <v>124</v>
      </c>
      <c r="B23" t="s">
        <v>125</v>
      </c>
      <c r="C23" t="s">
        <v>28</v>
      </c>
      <c r="D23">
        <v>198221.46019248673</v>
      </c>
      <c r="E23">
        <v>5902.1870284983779</v>
      </c>
      <c r="F23" s="22">
        <f t="shared" si="0"/>
        <v>2.9775721673964799E-2</v>
      </c>
      <c r="G23" t="e">
        <f>VLOOKUP(C23,host!F:O,9,0)</f>
        <v>#N/A</v>
      </c>
      <c r="H23" t="e">
        <f t="shared" si="1"/>
        <v>#N/A</v>
      </c>
      <c r="I23" t="e">
        <f t="shared" si="2"/>
        <v>#N/A</v>
      </c>
      <c r="J23" t="e">
        <f t="shared" si="3"/>
        <v>#N/A</v>
      </c>
    </row>
    <row r="24" spans="1:10">
      <c r="A24" t="s">
        <v>126</v>
      </c>
      <c r="B24" t="s">
        <v>127</v>
      </c>
      <c r="C24" t="s">
        <v>29</v>
      </c>
      <c r="D24">
        <v>60472.318966618586</v>
      </c>
      <c r="E24">
        <v>4163.797246017537</v>
      </c>
      <c r="F24" s="22">
        <f t="shared" si="0"/>
        <v>6.8854598553033844E-2</v>
      </c>
      <c r="G24" t="e">
        <f>VLOOKUP(C24,host!F:O,9,0)</f>
        <v>#N/A</v>
      </c>
      <c r="H24" t="e">
        <f t="shared" si="1"/>
        <v>#N/A</v>
      </c>
      <c r="I24" t="e">
        <f t="shared" si="2"/>
        <v>#N/A</v>
      </c>
      <c r="J24" t="e">
        <f t="shared" si="3"/>
        <v>#N/A</v>
      </c>
    </row>
    <row r="25" spans="1:10">
      <c r="A25" t="s">
        <v>128</v>
      </c>
      <c r="B25" t="s">
        <v>129</v>
      </c>
      <c r="C25" t="s">
        <v>29</v>
      </c>
      <c r="D25">
        <v>60472.318966618586</v>
      </c>
      <c r="E25">
        <v>21226.023842549937</v>
      </c>
      <c r="F25" s="22">
        <f t="shared" si="0"/>
        <v>0.35100396686072094</v>
      </c>
      <c r="G25" t="e">
        <f>VLOOKUP(C25,host!F:O,9,0)</f>
        <v>#N/A</v>
      </c>
      <c r="H25" t="e">
        <f t="shared" si="1"/>
        <v>#N/A</v>
      </c>
      <c r="I25" t="e">
        <f t="shared" si="2"/>
        <v>#N/A</v>
      </c>
      <c r="J25" t="e">
        <f t="shared" si="3"/>
        <v>#N/A</v>
      </c>
    </row>
    <row r="26" spans="1:10">
      <c r="A26" t="s">
        <v>130</v>
      </c>
      <c r="B26" t="s">
        <v>131</v>
      </c>
      <c r="C26" t="s">
        <v>29</v>
      </c>
      <c r="D26">
        <v>60472.318966618586</v>
      </c>
      <c r="E26">
        <v>10449.012865431681</v>
      </c>
      <c r="F26" s="22">
        <f t="shared" si="0"/>
        <v>0.1727900144064205</v>
      </c>
      <c r="G26" t="e">
        <f>VLOOKUP(C26,host!F:O,9,0)</f>
        <v>#N/A</v>
      </c>
      <c r="H26" t="e">
        <f t="shared" si="1"/>
        <v>#N/A</v>
      </c>
      <c r="I26" t="e">
        <f t="shared" si="2"/>
        <v>#N/A</v>
      </c>
      <c r="J26" t="e">
        <f t="shared" si="3"/>
        <v>#N/A</v>
      </c>
    </row>
    <row r="27" spans="1:10">
      <c r="A27" t="s">
        <v>132</v>
      </c>
      <c r="B27" t="s">
        <v>133</v>
      </c>
      <c r="C27" t="s">
        <v>29</v>
      </c>
      <c r="D27">
        <v>60472.318966618586</v>
      </c>
      <c r="E27">
        <v>4644.6621831975226</v>
      </c>
      <c r="F27" s="22">
        <f t="shared" si="0"/>
        <v>7.6806417590194104E-2</v>
      </c>
      <c r="G27" t="e">
        <f>VLOOKUP(C27,host!F:O,9,0)</f>
        <v>#N/A</v>
      </c>
      <c r="H27" t="e">
        <f t="shared" si="1"/>
        <v>#N/A</v>
      </c>
      <c r="I27" t="e">
        <f t="shared" si="2"/>
        <v>#N/A</v>
      </c>
      <c r="J27" t="e">
        <f t="shared" si="3"/>
        <v>#N/A</v>
      </c>
    </row>
    <row r="28" spans="1:10">
      <c r="A28" t="s">
        <v>134</v>
      </c>
      <c r="B28" t="s">
        <v>135</v>
      </c>
      <c r="C28" t="s">
        <v>32</v>
      </c>
      <c r="D28">
        <v>128007.48466036349</v>
      </c>
      <c r="E28">
        <v>7972.1196388995922</v>
      </c>
      <c r="F28" s="22">
        <f t="shared" si="0"/>
        <v>6.2278543009040906E-2</v>
      </c>
      <c r="G28" t="e">
        <f>VLOOKUP(C28,host!F:O,9,0)</f>
        <v>#N/A</v>
      </c>
      <c r="H28" t="e">
        <f t="shared" si="1"/>
        <v>#N/A</v>
      </c>
      <c r="I28" t="e">
        <f t="shared" si="2"/>
        <v>#N/A</v>
      </c>
      <c r="J28" t="e">
        <f t="shared" si="3"/>
        <v>#N/A</v>
      </c>
    </row>
    <row r="29" spans="1:10">
      <c r="A29" t="s">
        <v>136</v>
      </c>
      <c r="B29" t="s">
        <v>137</v>
      </c>
      <c r="C29" t="s">
        <v>29</v>
      </c>
      <c r="D29">
        <v>60472.318966618586</v>
      </c>
      <c r="E29">
        <v>5898.798167142977</v>
      </c>
      <c r="F29" s="22">
        <f t="shared" si="0"/>
        <v>9.7545426865458584E-2</v>
      </c>
      <c r="G29" t="e">
        <f>VLOOKUP(C29,host!F:O,9,0)</f>
        <v>#N/A</v>
      </c>
      <c r="H29" t="e">
        <f t="shared" si="1"/>
        <v>#N/A</v>
      </c>
      <c r="I29" t="e">
        <f t="shared" si="2"/>
        <v>#N/A</v>
      </c>
      <c r="J29" t="e">
        <f t="shared" si="3"/>
        <v>#N/A</v>
      </c>
    </row>
    <row r="30" spans="1:10">
      <c r="A30" t="s">
        <v>138</v>
      </c>
      <c r="B30" t="s">
        <v>139</v>
      </c>
      <c r="C30" t="s">
        <v>32</v>
      </c>
      <c r="D30">
        <v>128007.48466036349</v>
      </c>
      <c r="E30">
        <v>44713.645295471251</v>
      </c>
      <c r="F30" s="22">
        <f t="shared" si="0"/>
        <v>0.34930492864622686</v>
      </c>
      <c r="G30" t="e">
        <f>VLOOKUP(C30,host!F:O,9,0)</f>
        <v>#N/A</v>
      </c>
      <c r="H30" t="e">
        <f t="shared" si="1"/>
        <v>#N/A</v>
      </c>
      <c r="I30" t="e">
        <f t="shared" si="2"/>
        <v>#N/A</v>
      </c>
      <c r="J30" t="e">
        <f t="shared" si="3"/>
        <v>#N/A</v>
      </c>
    </row>
    <row r="31" spans="1:10">
      <c r="A31" t="s">
        <v>140</v>
      </c>
      <c r="B31" t="s">
        <v>141</v>
      </c>
      <c r="C31" t="s">
        <v>33</v>
      </c>
      <c r="D31">
        <v>1297241.667375939</v>
      </c>
      <c r="E31">
        <v>98270.66450472406</v>
      </c>
      <c r="F31" s="22">
        <f t="shared" si="0"/>
        <v>7.5753552307262842E-2</v>
      </c>
      <c r="G31" t="e">
        <f>VLOOKUP(C31,host!F:O,9,0)</f>
        <v>#N/A</v>
      </c>
      <c r="H31" t="e">
        <f t="shared" si="1"/>
        <v>#N/A</v>
      </c>
      <c r="I31" t="e">
        <f t="shared" si="2"/>
        <v>#N/A</v>
      </c>
      <c r="J31" t="e">
        <f t="shared" si="3"/>
        <v>#N/A</v>
      </c>
    </row>
    <row r="32" spans="1:10">
      <c r="A32" t="s">
        <v>142</v>
      </c>
      <c r="B32" t="s">
        <v>143</v>
      </c>
      <c r="C32" t="s">
        <v>26</v>
      </c>
      <c r="D32">
        <v>624409.14384141809</v>
      </c>
      <c r="E32">
        <v>12095.069789778827</v>
      </c>
      <c r="F32" s="22">
        <f t="shared" si="0"/>
        <v>1.9370423878434788E-2</v>
      </c>
      <c r="G32" t="e">
        <f>VLOOKUP(C32,host!F:O,9,0)</f>
        <v>#N/A</v>
      </c>
      <c r="H32" t="e">
        <f t="shared" si="1"/>
        <v>#N/A</v>
      </c>
      <c r="I32" t="e">
        <f t="shared" si="2"/>
        <v>#N/A</v>
      </c>
      <c r="J32" t="e">
        <f t="shared" si="3"/>
        <v>#N/A</v>
      </c>
    </row>
    <row r="33" spans="1:10">
      <c r="A33" t="s">
        <v>144</v>
      </c>
      <c r="B33" t="s">
        <v>145</v>
      </c>
      <c r="C33" t="s">
        <v>33</v>
      </c>
      <c r="D33">
        <v>1297241.667375939</v>
      </c>
      <c r="E33">
        <v>51495.703832458486</v>
      </c>
      <c r="F33" s="22">
        <f t="shared" si="0"/>
        <v>3.9696307270659925E-2</v>
      </c>
      <c r="G33" t="e">
        <f>VLOOKUP(C33,host!F:O,9,0)</f>
        <v>#N/A</v>
      </c>
      <c r="H33" t="e">
        <f t="shared" si="1"/>
        <v>#N/A</v>
      </c>
      <c r="I33" t="e">
        <f t="shared" si="2"/>
        <v>#N/A</v>
      </c>
      <c r="J33" t="e">
        <f t="shared" si="3"/>
        <v>#N/A</v>
      </c>
    </row>
    <row r="34" spans="1:10">
      <c r="A34" t="s">
        <v>146</v>
      </c>
      <c r="B34" t="s">
        <v>147</v>
      </c>
      <c r="C34" t="s">
        <v>32</v>
      </c>
      <c r="D34">
        <v>128007.48466036349</v>
      </c>
      <c r="E34">
        <v>46842.967340674331</v>
      </c>
      <c r="F34" s="22">
        <f t="shared" si="0"/>
        <v>0.36593928444856699</v>
      </c>
      <c r="G34" t="e">
        <f>VLOOKUP(C34,host!F:O,9,0)</f>
        <v>#N/A</v>
      </c>
      <c r="H34" t="e">
        <f t="shared" si="1"/>
        <v>#N/A</v>
      </c>
      <c r="I34" t="e">
        <f t="shared" si="2"/>
        <v>#N/A</v>
      </c>
      <c r="J34" t="e">
        <f t="shared" si="3"/>
        <v>#N/A</v>
      </c>
    </row>
    <row r="35" spans="1:10">
      <c r="A35" t="s">
        <v>148</v>
      </c>
      <c r="B35" t="s">
        <v>149</v>
      </c>
      <c r="C35" t="s">
        <v>26</v>
      </c>
      <c r="D35">
        <v>624409.14384141809</v>
      </c>
      <c r="E35">
        <v>15156.403724323362</v>
      </c>
      <c r="F35" s="22">
        <f t="shared" si="0"/>
        <v>2.4273193103931629E-2</v>
      </c>
      <c r="G35" t="e">
        <f>VLOOKUP(C35,host!F:O,9,0)</f>
        <v>#N/A</v>
      </c>
      <c r="H35" t="e">
        <f t="shared" si="1"/>
        <v>#N/A</v>
      </c>
      <c r="I35" t="e">
        <f t="shared" si="2"/>
        <v>#N/A</v>
      </c>
      <c r="J35" t="e">
        <f t="shared" si="3"/>
        <v>#N/A</v>
      </c>
    </row>
    <row r="36" spans="1:10">
      <c r="A36" t="s">
        <v>150</v>
      </c>
      <c r="B36" t="s">
        <v>151</v>
      </c>
      <c r="C36" t="s">
        <v>34</v>
      </c>
      <c r="D36">
        <v>133951.6858741811</v>
      </c>
      <c r="E36">
        <v>9308.2110460840377</v>
      </c>
      <c r="F36" s="22">
        <f t="shared" si="0"/>
        <v>6.9489316131691736E-2</v>
      </c>
      <c r="G36" t="e">
        <f>VLOOKUP(C36,host!F:O,9,0)</f>
        <v>#N/A</v>
      </c>
      <c r="H36" t="e">
        <f t="shared" si="1"/>
        <v>#N/A</v>
      </c>
      <c r="I36" t="e">
        <f t="shared" si="2"/>
        <v>#N/A</v>
      </c>
      <c r="J36" t="e">
        <f t="shared" si="3"/>
        <v>#N/A</v>
      </c>
    </row>
    <row r="37" spans="1:10">
      <c r="A37" t="s">
        <v>152</v>
      </c>
      <c r="B37" t="s">
        <v>153</v>
      </c>
      <c r="C37" t="s">
        <v>33</v>
      </c>
      <c r="D37">
        <v>1297241.667375939</v>
      </c>
      <c r="E37">
        <v>19209.821291444518</v>
      </c>
      <c r="F37" s="22">
        <f t="shared" si="0"/>
        <v>1.480820557537452E-2</v>
      </c>
      <c r="G37" t="e">
        <f>VLOOKUP(C37,host!F:O,9,0)</f>
        <v>#N/A</v>
      </c>
      <c r="H37" t="e">
        <f t="shared" si="1"/>
        <v>#N/A</v>
      </c>
      <c r="I37" t="e">
        <f t="shared" si="2"/>
        <v>#N/A</v>
      </c>
      <c r="J37" t="e">
        <f t="shared" si="3"/>
        <v>#N/A</v>
      </c>
    </row>
    <row r="38" spans="1:10">
      <c r="A38" t="s">
        <v>154</v>
      </c>
      <c r="B38" t="s">
        <v>155</v>
      </c>
      <c r="C38" t="s">
        <v>35</v>
      </c>
      <c r="D38">
        <v>278264.8313261391</v>
      </c>
      <c r="E38">
        <v>3991.449445750131</v>
      </c>
      <c r="F38" s="22">
        <f t="shared" si="0"/>
        <v>1.4344067220884157E-2</v>
      </c>
      <c r="G38" t="e">
        <f>VLOOKUP(C38,host!F:O,9,0)</f>
        <v>#N/A</v>
      </c>
      <c r="H38" t="e">
        <f t="shared" si="1"/>
        <v>#N/A</v>
      </c>
      <c r="I38" t="e">
        <f t="shared" si="2"/>
        <v>#N/A</v>
      </c>
      <c r="J38" t="e">
        <f t="shared" si="3"/>
        <v>#N/A</v>
      </c>
    </row>
    <row r="39" spans="1:10">
      <c r="A39" t="s">
        <v>156</v>
      </c>
      <c r="B39" t="s">
        <v>157</v>
      </c>
      <c r="C39" t="s">
        <v>32</v>
      </c>
      <c r="D39">
        <v>128007.48466036349</v>
      </c>
      <c r="E39">
        <v>5841.5789198257762</v>
      </c>
      <c r="F39" s="22">
        <f t="shared" si="0"/>
        <v>4.5634666873776757E-2</v>
      </c>
      <c r="G39" t="e">
        <f>VLOOKUP(C39,host!F:O,9,0)</f>
        <v>#N/A</v>
      </c>
      <c r="H39" t="e">
        <f t="shared" si="1"/>
        <v>#N/A</v>
      </c>
      <c r="I39" t="e">
        <f t="shared" si="2"/>
        <v>#N/A</v>
      </c>
      <c r="J39" t="e">
        <f t="shared" si="3"/>
        <v>#N/A</v>
      </c>
    </row>
    <row r="40" spans="1:10">
      <c r="A40" t="s">
        <v>158</v>
      </c>
      <c r="B40" t="s">
        <v>159</v>
      </c>
      <c r="C40" t="s">
        <v>35</v>
      </c>
      <c r="D40">
        <v>278264.8313261391</v>
      </c>
      <c r="E40">
        <v>24126.473796822254</v>
      </c>
      <c r="F40" s="22">
        <f t="shared" si="0"/>
        <v>8.6703280762580173E-2</v>
      </c>
      <c r="G40" t="e">
        <f>VLOOKUP(C40,host!F:O,9,0)</f>
        <v>#N/A</v>
      </c>
      <c r="H40" t="e">
        <f t="shared" si="1"/>
        <v>#N/A</v>
      </c>
      <c r="I40" t="e">
        <f t="shared" si="2"/>
        <v>#N/A</v>
      </c>
      <c r="J40" t="e">
        <f t="shared" si="3"/>
        <v>#N/A</v>
      </c>
    </row>
    <row r="41" spans="1:10">
      <c r="A41" t="s">
        <v>160</v>
      </c>
      <c r="B41" t="s">
        <v>161</v>
      </c>
      <c r="C41" t="s">
        <v>32</v>
      </c>
      <c r="D41">
        <v>128007.48466036349</v>
      </c>
      <c r="E41">
        <v>22637.173465492644</v>
      </c>
      <c r="F41" s="22">
        <f t="shared" si="0"/>
        <v>0.17684257702238926</v>
      </c>
      <c r="G41" t="e">
        <f>VLOOKUP(C41,host!F:O,9,0)</f>
        <v>#N/A</v>
      </c>
      <c r="H41" t="e">
        <f t="shared" si="1"/>
        <v>#N/A</v>
      </c>
      <c r="I41" t="e">
        <f t="shared" si="2"/>
        <v>#N/A</v>
      </c>
      <c r="J41" t="e">
        <f t="shared" si="3"/>
        <v>#N/A</v>
      </c>
    </row>
    <row r="42" spans="1:10">
      <c r="A42" t="s">
        <v>162</v>
      </c>
      <c r="B42" t="s">
        <v>163</v>
      </c>
      <c r="C42" t="s">
        <v>35</v>
      </c>
      <c r="D42">
        <v>278264.8313261391</v>
      </c>
      <c r="E42">
        <v>41918.740438687506</v>
      </c>
      <c r="F42" s="22">
        <f t="shared" si="0"/>
        <v>0.15064332865534424</v>
      </c>
      <c r="G42" t="e">
        <f>VLOOKUP(C42,host!F:O,9,0)</f>
        <v>#N/A</v>
      </c>
      <c r="H42" t="e">
        <f t="shared" si="1"/>
        <v>#N/A</v>
      </c>
      <c r="I42" t="e">
        <f t="shared" si="2"/>
        <v>#N/A</v>
      </c>
      <c r="J42" t="e">
        <f t="shared" si="3"/>
        <v>#N/A</v>
      </c>
    </row>
    <row r="43" spans="1:10">
      <c r="A43" t="s">
        <v>164</v>
      </c>
      <c r="B43" t="s">
        <v>165</v>
      </c>
      <c r="C43" t="s">
        <v>35</v>
      </c>
      <c r="D43">
        <v>278264.8313261391</v>
      </c>
      <c r="E43">
        <v>17082.700807386973</v>
      </c>
      <c r="F43" s="22">
        <f t="shared" si="0"/>
        <v>6.1390081980447132E-2</v>
      </c>
      <c r="G43" t="e">
        <f>VLOOKUP(C43,host!F:O,9,0)</f>
        <v>#N/A</v>
      </c>
      <c r="H43" t="e">
        <f t="shared" si="1"/>
        <v>#N/A</v>
      </c>
      <c r="I43" t="e">
        <f t="shared" si="2"/>
        <v>#N/A</v>
      </c>
      <c r="J43" t="e">
        <f t="shared" si="3"/>
        <v>#N/A</v>
      </c>
    </row>
    <row r="44" spans="1:10">
      <c r="A44" t="s">
        <v>166</v>
      </c>
      <c r="B44" t="s">
        <v>167</v>
      </c>
      <c r="C44" t="s">
        <v>34</v>
      </c>
      <c r="D44">
        <v>133951.6858741811</v>
      </c>
      <c r="E44">
        <v>12843.559492240338</v>
      </c>
      <c r="F44" s="22">
        <f t="shared" si="0"/>
        <v>9.5882029467729946E-2</v>
      </c>
      <c r="G44" t="e">
        <f>VLOOKUP(C44,host!F:O,9,0)</f>
        <v>#N/A</v>
      </c>
      <c r="H44" t="e">
        <f t="shared" si="1"/>
        <v>#N/A</v>
      </c>
      <c r="I44" t="e">
        <f t="shared" si="2"/>
        <v>#N/A</v>
      </c>
      <c r="J44" t="e">
        <f t="shared" si="3"/>
        <v>#N/A</v>
      </c>
    </row>
    <row r="45" spans="1:10">
      <c r="A45" t="s">
        <v>168</v>
      </c>
      <c r="B45" t="s">
        <v>169</v>
      </c>
      <c r="C45" t="s">
        <v>33</v>
      </c>
      <c r="D45">
        <v>1297241.667375939</v>
      </c>
      <c r="E45">
        <v>911787.87028372393</v>
      </c>
      <c r="F45" s="22">
        <f t="shared" si="0"/>
        <v>0.70286662324691496</v>
      </c>
      <c r="G45" t="e">
        <f>VLOOKUP(C45,host!F:O,9,0)</f>
        <v>#N/A</v>
      </c>
      <c r="H45" t="e">
        <f t="shared" si="1"/>
        <v>#N/A</v>
      </c>
      <c r="I45" t="e">
        <f t="shared" si="2"/>
        <v>#N/A</v>
      </c>
      <c r="J45" t="e">
        <f t="shared" si="3"/>
        <v>#N/A</v>
      </c>
    </row>
    <row r="46" spans="1:10">
      <c r="A46" t="s">
        <v>170</v>
      </c>
      <c r="B46" t="s">
        <v>171</v>
      </c>
      <c r="C46" t="s">
        <v>34</v>
      </c>
      <c r="D46">
        <v>133951.6858741811</v>
      </c>
      <c r="E46">
        <v>32748.166957975671</v>
      </c>
      <c r="F46" s="22">
        <f t="shared" si="0"/>
        <v>0.24447745277902327</v>
      </c>
      <c r="G46" t="e">
        <f>VLOOKUP(C46,host!F:O,9,0)</f>
        <v>#N/A</v>
      </c>
      <c r="H46" t="e">
        <f t="shared" si="1"/>
        <v>#N/A</v>
      </c>
      <c r="I46" t="e">
        <f t="shared" si="2"/>
        <v>#N/A</v>
      </c>
      <c r="J46" t="e">
        <f t="shared" si="3"/>
        <v>#N/A</v>
      </c>
    </row>
    <row r="47" spans="1:10">
      <c r="A47" t="s">
        <v>172</v>
      </c>
      <c r="B47" t="s">
        <v>173</v>
      </c>
      <c r="C47" t="s">
        <v>34</v>
      </c>
      <c r="D47">
        <v>133951.6858741811</v>
      </c>
      <c r="E47">
        <v>55677.349236402304</v>
      </c>
      <c r="F47" s="22">
        <f t="shared" si="0"/>
        <v>0.41565247106109021</v>
      </c>
      <c r="G47" t="e">
        <f>VLOOKUP(C47,host!F:O,9,0)</f>
        <v>#N/A</v>
      </c>
      <c r="H47" t="e">
        <f t="shared" si="1"/>
        <v>#N/A</v>
      </c>
      <c r="I47" t="e">
        <f t="shared" si="2"/>
        <v>#N/A</v>
      </c>
      <c r="J47" t="e">
        <f t="shared" si="3"/>
        <v>#N/A</v>
      </c>
    </row>
    <row r="48" spans="1:10">
      <c r="A48" t="s">
        <v>174</v>
      </c>
      <c r="B48" t="s">
        <v>175</v>
      </c>
      <c r="C48" t="s">
        <v>35</v>
      </c>
      <c r="D48">
        <v>278264.8313261391</v>
      </c>
      <c r="E48">
        <v>11831.362475402091</v>
      </c>
      <c r="F48" s="22">
        <f t="shared" si="0"/>
        <v>4.2518353537588059E-2</v>
      </c>
      <c r="G48" t="e">
        <f>VLOOKUP(C48,host!F:O,9,0)</f>
        <v>#N/A</v>
      </c>
      <c r="H48" t="e">
        <f t="shared" si="1"/>
        <v>#N/A</v>
      </c>
      <c r="I48" t="e">
        <f t="shared" si="2"/>
        <v>#N/A</v>
      </c>
      <c r="J48" t="e">
        <f t="shared" si="3"/>
        <v>#N/A</v>
      </c>
    </row>
    <row r="49" spans="1:10">
      <c r="A49" t="s">
        <v>176</v>
      </c>
      <c r="B49" t="s">
        <v>177</v>
      </c>
      <c r="C49" t="s">
        <v>33</v>
      </c>
      <c r="D49">
        <v>1297241.667375939</v>
      </c>
      <c r="E49">
        <v>21892.911782046263</v>
      </c>
      <c r="F49" s="22">
        <f t="shared" si="0"/>
        <v>1.6876509853658381E-2</v>
      </c>
      <c r="G49" t="e">
        <f>VLOOKUP(C49,host!F:O,9,0)</f>
        <v>#N/A</v>
      </c>
      <c r="H49" t="e">
        <f t="shared" si="1"/>
        <v>#N/A</v>
      </c>
      <c r="I49" t="e">
        <f t="shared" si="2"/>
        <v>#N/A</v>
      </c>
      <c r="J49" t="e">
        <f t="shared" si="3"/>
        <v>#N/A</v>
      </c>
    </row>
    <row r="50" spans="1:10">
      <c r="A50" t="s">
        <v>36</v>
      </c>
      <c r="B50" t="s">
        <v>178</v>
      </c>
      <c r="C50" t="s">
        <v>37</v>
      </c>
      <c r="D50">
        <v>70552.185644525889</v>
      </c>
      <c r="E50">
        <v>31798.146719644858</v>
      </c>
      <c r="F50" s="22">
        <f t="shared" si="0"/>
        <v>0.45070392120604785</v>
      </c>
      <c r="G50" t="e">
        <f>VLOOKUP(C50,host!F:O,9,0)</f>
        <v>#N/A</v>
      </c>
      <c r="H50" t="e">
        <f t="shared" si="1"/>
        <v>#N/A</v>
      </c>
      <c r="I50" t="e">
        <f t="shared" si="2"/>
        <v>#N/A</v>
      </c>
      <c r="J50" t="e">
        <f t="shared" si="3"/>
        <v>#N/A</v>
      </c>
    </row>
    <row r="51" spans="1:10">
      <c r="A51" t="s">
        <v>179</v>
      </c>
      <c r="B51" t="s">
        <v>180</v>
      </c>
      <c r="C51" t="s">
        <v>34</v>
      </c>
      <c r="D51">
        <v>133951.6858741811</v>
      </c>
      <c r="E51">
        <v>5324.0615273779304</v>
      </c>
      <c r="F51" s="22">
        <f t="shared" si="0"/>
        <v>3.9746133037689015E-2</v>
      </c>
      <c r="G51" t="e">
        <f>VLOOKUP(C51,host!F:O,9,0)</f>
        <v>#N/A</v>
      </c>
      <c r="H51" t="e">
        <f t="shared" si="1"/>
        <v>#N/A</v>
      </c>
      <c r="I51" t="e">
        <f t="shared" si="2"/>
        <v>#N/A</v>
      </c>
      <c r="J51" t="e">
        <f t="shared" si="3"/>
        <v>#N/A</v>
      </c>
    </row>
    <row r="52" spans="1:10">
      <c r="A52" t="s">
        <v>181</v>
      </c>
      <c r="B52" t="s">
        <v>182</v>
      </c>
      <c r="C52" t="s">
        <v>33</v>
      </c>
      <c r="D52">
        <v>1297241.667375939</v>
      </c>
      <c r="E52">
        <v>20259.869865361004</v>
      </c>
      <c r="F52" s="22">
        <f t="shared" si="0"/>
        <v>1.5617652727993758E-2</v>
      </c>
      <c r="G52" t="e">
        <f>VLOOKUP(C52,host!F:O,9,0)</f>
        <v>#N/A</v>
      </c>
      <c r="H52" t="e">
        <f t="shared" si="1"/>
        <v>#N/A</v>
      </c>
      <c r="I52" t="e">
        <f t="shared" si="2"/>
        <v>#N/A</v>
      </c>
      <c r="J52" t="e">
        <f t="shared" si="3"/>
        <v>#N/A</v>
      </c>
    </row>
    <row r="53" spans="1:10">
      <c r="A53" t="s">
        <v>183</v>
      </c>
      <c r="B53" t="s">
        <v>184</v>
      </c>
      <c r="C53" t="s">
        <v>38</v>
      </c>
      <c r="D53">
        <v>287461.73990137415</v>
      </c>
      <c r="E53">
        <v>57983.764421621781</v>
      </c>
      <c r="F53" s="22">
        <f t="shared" si="0"/>
        <v>0.20170950207674784</v>
      </c>
      <c r="G53" t="e">
        <f>VLOOKUP(C53,host!F:O,9,0)</f>
        <v>#N/A</v>
      </c>
      <c r="H53" t="e">
        <f t="shared" si="1"/>
        <v>#N/A</v>
      </c>
      <c r="I53" t="e">
        <f t="shared" si="2"/>
        <v>#N/A</v>
      </c>
      <c r="J53" t="e">
        <f t="shared" si="3"/>
        <v>#N/A</v>
      </c>
    </row>
    <row r="54" spans="1:10">
      <c r="A54" t="s">
        <v>185</v>
      </c>
      <c r="B54" t="s">
        <v>186</v>
      </c>
      <c r="C54" t="s">
        <v>39</v>
      </c>
      <c r="D54">
        <v>144485.20258160552</v>
      </c>
      <c r="E54">
        <v>17044.80578407276</v>
      </c>
      <c r="F54" s="22">
        <f t="shared" si="0"/>
        <v>0.1179692140061597</v>
      </c>
      <c r="G54" t="e">
        <f>VLOOKUP(C54,host!F:O,9,0)</f>
        <v>#N/A</v>
      </c>
      <c r="H54" t="e">
        <f t="shared" si="1"/>
        <v>#N/A</v>
      </c>
      <c r="I54" t="e">
        <f t="shared" si="2"/>
        <v>#N/A</v>
      </c>
      <c r="J54" t="e">
        <f t="shared" si="3"/>
        <v>#N/A</v>
      </c>
    </row>
    <row r="55" spans="1:10">
      <c r="A55" t="s">
        <v>187</v>
      </c>
      <c r="B55" t="s">
        <v>188</v>
      </c>
      <c r="C55" t="s">
        <v>39</v>
      </c>
      <c r="D55">
        <v>144485.20258160552</v>
      </c>
      <c r="E55">
        <v>26602.539479433752</v>
      </c>
      <c r="F55" s="22">
        <f t="shared" si="0"/>
        <v>0.18411947385690647</v>
      </c>
      <c r="G55" t="e">
        <f>VLOOKUP(C55,host!F:O,9,0)</f>
        <v>#N/A</v>
      </c>
      <c r="H55" t="e">
        <f t="shared" si="1"/>
        <v>#N/A</v>
      </c>
      <c r="I55" t="e">
        <f t="shared" si="2"/>
        <v>#N/A</v>
      </c>
      <c r="J55" t="e">
        <f t="shared" si="3"/>
        <v>#N/A</v>
      </c>
    </row>
    <row r="56" spans="1:10">
      <c r="A56" t="s">
        <v>189</v>
      </c>
      <c r="B56" t="s">
        <v>190</v>
      </c>
      <c r="C56" t="s">
        <v>35</v>
      </c>
      <c r="D56">
        <v>278264.8313261391</v>
      </c>
      <c r="E56">
        <v>1568.0623047766658</v>
      </c>
      <c r="F56" s="22">
        <f t="shared" si="0"/>
        <v>5.63514367699174E-3</v>
      </c>
      <c r="G56" t="e">
        <f>VLOOKUP(C56,host!F:O,9,0)</f>
        <v>#N/A</v>
      </c>
      <c r="H56" t="e">
        <f t="shared" si="1"/>
        <v>#N/A</v>
      </c>
      <c r="I56" t="e">
        <f t="shared" si="2"/>
        <v>#N/A</v>
      </c>
      <c r="J56" t="e">
        <f t="shared" si="3"/>
        <v>#N/A</v>
      </c>
    </row>
    <row r="57" spans="1:10">
      <c r="A57" t="s">
        <v>191</v>
      </c>
      <c r="B57" t="s">
        <v>192</v>
      </c>
      <c r="C57" t="s">
        <v>39</v>
      </c>
      <c r="D57">
        <v>144485.20258160552</v>
      </c>
      <c r="E57">
        <v>3007.4079316666343</v>
      </c>
      <c r="F57" s="22">
        <f t="shared" si="0"/>
        <v>2.0814643146366801E-2</v>
      </c>
      <c r="G57" t="e">
        <f>VLOOKUP(C57,host!F:O,9,0)</f>
        <v>#N/A</v>
      </c>
      <c r="H57" t="e">
        <f t="shared" si="1"/>
        <v>#N/A</v>
      </c>
      <c r="I57" t="e">
        <f t="shared" si="2"/>
        <v>#N/A</v>
      </c>
      <c r="J57" t="e">
        <f t="shared" si="3"/>
        <v>#N/A</v>
      </c>
    </row>
    <row r="58" spans="1:10">
      <c r="A58" t="s">
        <v>193</v>
      </c>
      <c r="B58" t="s">
        <v>194</v>
      </c>
      <c r="C58" t="s">
        <v>40</v>
      </c>
      <c r="D58">
        <v>111962.57828470776</v>
      </c>
      <c r="E58">
        <v>50965.676235154315</v>
      </c>
      <c r="F58" s="22">
        <f t="shared" si="0"/>
        <v>0.45520277414078969</v>
      </c>
      <c r="G58" t="e">
        <f>VLOOKUP(C58,host!F:O,9,0)</f>
        <v>#N/A</v>
      </c>
      <c r="H58" t="e">
        <f t="shared" si="1"/>
        <v>#N/A</v>
      </c>
      <c r="I58" t="e">
        <f t="shared" si="2"/>
        <v>#N/A</v>
      </c>
      <c r="J58" t="e">
        <f t="shared" si="3"/>
        <v>#N/A</v>
      </c>
    </row>
    <row r="59" spans="1:10">
      <c r="A59" t="s">
        <v>195</v>
      </c>
      <c r="B59" t="s">
        <v>196</v>
      </c>
      <c r="C59" t="s">
        <v>34</v>
      </c>
      <c r="D59">
        <v>133951.6858741811</v>
      </c>
      <c r="E59">
        <v>856.67204289076642</v>
      </c>
      <c r="F59" s="22">
        <f t="shared" si="0"/>
        <v>6.3953808218242675E-3</v>
      </c>
      <c r="G59" t="e">
        <f>VLOOKUP(C59,host!F:O,9,0)</f>
        <v>#N/A</v>
      </c>
      <c r="H59" t="e">
        <f t="shared" si="1"/>
        <v>#N/A</v>
      </c>
      <c r="I59" t="e">
        <f t="shared" si="2"/>
        <v>#N/A</v>
      </c>
      <c r="J59" t="e">
        <f t="shared" si="3"/>
        <v>#N/A</v>
      </c>
    </row>
    <row r="60" spans="1:10">
      <c r="A60" t="s">
        <v>197</v>
      </c>
      <c r="B60" t="s">
        <v>198</v>
      </c>
      <c r="C60" t="s">
        <v>40</v>
      </c>
      <c r="D60">
        <v>111962.57828470776</v>
      </c>
      <c r="E60">
        <v>2993.3854756094729</v>
      </c>
      <c r="F60" s="22">
        <f t="shared" si="0"/>
        <v>2.6735588992936935E-2</v>
      </c>
      <c r="G60" t="e">
        <f>VLOOKUP(C60,host!F:O,9,0)</f>
        <v>#N/A</v>
      </c>
      <c r="H60" t="e">
        <f t="shared" si="1"/>
        <v>#N/A</v>
      </c>
      <c r="I60" t="e">
        <f t="shared" si="2"/>
        <v>#N/A</v>
      </c>
      <c r="J60" t="e">
        <f t="shared" si="3"/>
        <v>#N/A</v>
      </c>
    </row>
    <row r="61" spans="1:10">
      <c r="A61" t="s">
        <v>199</v>
      </c>
      <c r="B61" t="s">
        <v>200</v>
      </c>
      <c r="C61" t="s">
        <v>34</v>
      </c>
      <c r="D61">
        <v>133951.6858741811</v>
      </c>
      <c r="E61">
        <v>8.5398019999999999</v>
      </c>
      <c r="F61" s="22">
        <f t="shared" si="0"/>
        <v>6.3752851965008587E-5</v>
      </c>
      <c r="G61" t="e">
        <f>VLOOKUP(C61,host!F:O,9,0)</f>
        <v>#N/A</v>
      </c>
      <c r="H61" t="e">
        <f t="shared" si="1"/>
        <v>#N/A</v>
      </c>
      <c r="I61" t="e">
        <f t="shared" si="2"/>
        <v>#N/A</v>
      </c>
      <c r="J61" t="e">
        <f t="shared" si="3"/>
        <v>#N/A</v>
      </c>
    </row>
    <row r="62" spans="1:10">
      <c r="A62" t="s">
        <v>201</v>
      </c>
      <c r="B62" t="s">
        <v>202</v>
      </c>
      <c r="C62" t="s">
        <v>39</v>
      </c>
      <c r="D62">
        <v>144485.20258160552</v>
      </c>
      <c r="E62">
        <v>22829.057588110943</v>
      </c>
      <c r="F62" s="22">
        <f t="shared" si="0"/>
        <v>0.15800273785972682</v>
      </c>
      <c r="G62" t="e">
        <f>VLOOKUP(C62,host!F:O,9,0)</f>
        <v>#N/A</v>
      </c>
      <c r="H62" t="e">
        <f t="shared" si="1"/>
        <v>#N/A</v>
      </c>
      <c r="I62" t="e">
        <f t="shared" si="2"/>
        <v>#N/A</v>
      </c>
      <c r="J62" t="e">
        <f t="shared" si="3"/>
        <v>#N/A</v>
      </c>
    </row>
    <row r="63" spans="1:10">
      <c r="A63" t="s">
        <v>203</v>
      </c>
      <c r="B63" t="s">
        <v>204</v>
      </c>
      <c r="C63" t="s">
        <v>40</v>
      </c>
      <c r="D63">
        <v>111962.57828470776</v>
      </c>
      <c r="E63">
        <v>58003.516573943802</v>
      </c>
      <c r="F63" s="22">
        <f t="shared" si="0"/>
        <v>0.51806163686627182</v>
      </c>
      <c r="G63" t="e">
        <f>VLOOKUP(C63,host!F:O,9,0)</f>
        <v>#N/A</v>
      </c>
      <c r="H63" t="e">
        <f t="shared" si="1"/>
        <v>#N/A</v>
      </c>
      <c r="I63" t="e">
        <f t="shared" si="2"/>
        <v>#N/A</v>
      </c>
      <c r="J63" t="e">
        <f t="shared" si="3"/>
        <v>#N/A</v>
      </c>
    </row>
    <row r="64" spans="1:10">
      <c r="A64" t="s">
        <v>205</v>
      </c>
      <c r="B64" t="s">
        <v>206</v>
      </c>
      <c r="C64" t="s">
        <v>41</v>
      </c>
      <c r="D64">
        <v>145647.83576810625</v>
      </c>
      <c r="E64">
        <v>16743.585160084622</v>
      </c>
      <c r="F64" s="22">
        <f t="shared" si="0"/>
        <v>0.11495938179776996</v>
      </c>
      <c r="G64" t="e">
        <f>VLOOKUP(C64,host!F:O,9,0)</f>
        <v>#N/A</v>
      </c>
      <c r="H64" t="e">
        <f t="shared" si="1"/>
        <v>#N/A</v>
      </c>
      <c r="I64" t="e">
        <f t="shared" si="2"/>
        <v>#N/A</v>
      </c>
      <c r="J64" t="e">
        <f t="shared" si="3"/>
        <v>#N/A</v>
      </c>
    </row>
    <row r="65" spans="1:10">
      <c r="A65" t="s">
        <v>207</v>
      </c>
      <c r="B65" t="s">
        <v>208</v>
      </c>
      <c r="C65" t="s">
        <v>39</v>
      </c>
      <c r="D65">
        <v>144485.20258160552</v>
      </c>
      <c r="E65">
        <v>47847.948431310571</v>
      </c>
      <c r="F65" s="22">
        <f t="shared" si="0"/>
        <v>0.33116158316825528</v>
      </c>
      <c r="G65" t="e">
        <f>VLOOKUP(C65,host!F:O,9,0)</f>
        <v>#N/A</v>
      </c>
      <c r="H65" t="e">
        <f t="shared" si="1"/>
        <v>#N/A</v>
      </c>
      <c r="I65" t="e">
        <f t="shared" si="2"/>
        <v>#N/A</v>
      </c>
      <c r="J65" t="e">
        <f t="shared" si="3"/>
        <v>#N/A</v>
      </c>
    </row>
    <row r="66" spans="1:10">
      <c r="A66" t="s">
        <v>209</v>
      </c>
      <c r="B66" t="s">
        <v>210</v>
      </c>
      <c r="C66" t="s">
        <v>34</v>
      </c>
      <c r="D66">
        <v>133951.6858741811</v>
      </c>
      <c r="E66">
        <v>17185.125769210299</v>
      </c>
      <c r="F66" s="22">
        <f t="shared" si="0"/>
        <v>0.12829346384898838</v>
      </c>
      <c r="G66" t="e">
        <f>VLOOKUP(C66,host!F:O,9,0)</f>
        <v>#N/A</v>
      </c>
      <c r="H66" t="e">
        <f t="shared" si="1"/>
        <v>#N/A</v>
      </c>
      <c r="I66" t="e">
        <f t="shared" si="2"/>
        <v>#N/A</v>
      </c>
      <c r="J66" t="e">
        <f t="shared" si="3"/>
        <v>#N/A</v>
      </c>
    </row>
    <row r="67" spans="1:10">
      <c r="A67" t="s">
        <v>211</v>
      </c>
      <c r="B67" t="s">
        <v>212</v>
      </c>
      <c r="C67" t="s">
        <v>41</v>
      </c>
      <c r="D67">
        <v>145647.83576810625</v>
      </c>
      <c r="E67">
        <v>10724.110985925188</v>
      </c>
      <c r="F67" s="22">
        <f t="shared" ref="F67:F130" si="4">E67/D67</f>
        <v>7.3630417708366244E-2</v>
      </c>
      <c r="G67" t="e">
        <f>VLOOKUP(C67,host!F:O,9,0)</f>
        <v>#N/A</v>
      </c>
      <c r="H67" t="e">
        <f t="shared" ref="H67:H130" si="5">+G67*F67</f>
        <v>#N/A</v>
      </c>
      <c r="I67" t="e">
        <f t="shared" ref="I67:I130" si="6">ROUND(H67,0)</f>
        <v>#N/A</v>
      </c>
      <c r="J67" t="e">
        <f t="shared" ref="J67:J130" si="7">ROUND(I67/4,0)</f>
        <v>#N/A</v>
      </c>
    </row>
    <row r="68" spans="1:10">
      <c r="A68" t="s">
        <v>213</v>
      </c>
      <c r="B68" t="s">
        <v>214</v>
      </c>
      <c r="C68" t="s">
        <v>35</v>
      </c>
      <c r="D68">
        <v>278264.8313261391</v>
      </c>
      <c r="E68">
        <v>47801.139106515344</v>
      </c>
      <c r="F68" s="22">
        <f t="shared" si="4"/>
        <v>0.17178289789157805</v>
      </c>
      <c r="G68" t="e">
        <f>VLOOKUP(C68,host!F:O,9,0)</f>
        <v>#N/A</v>
      </c>
      <c r="H68" t="e">
        <f t="shared" si="5"/>
        <v>#N/A</v>
      </c>
      <c r="I68" t="e">
        <f t="shared" si="6"/>
        <v>#N/A</v>
      </c>
      <c r="J68" t="e">
        <f t="shared" si="7"/>
        <v>#N/A</v>
      </c>
    </row>
    <row r="69" spans="1:10">
      <c r="A69" t="s">
        <v>215</v>
      </c>
      <c r="B69" t="s">
        <v>216</v>
      </c>
      <c r="C69" t="s">
        <v>35</v>
      </c>
      <c r="D69">
        <v>278264.8313261391</v>
      </c>
      <c r="E69">
        <v>28399.18206685943</v>
      </c>
      <c r="F69" s="22">
        <f t="shared" si="4"/>
        <v>0.10205810749247823</v>
      </c>
      <c r="G69" t="e">
        <f>VLOOKUP(C69,host!F:O,9,0)</f>
        <v>#N/A</v>
      </c>
      <c r="H69" t="e">
        <f t="shared" si="5"/>
        <v>#N/A</v>
      </c>
      <c r="I69" t="e">
        <f t="shared" si="6"/>
        <v>#N/A</v>
      </c>
      <c r="J69" t="e">
        <f t="shared" si="7"/>
        <v>#N/A</v>
      </c>
    </row>
    <row r="70" spans="1:10">
      <c r="A70" t="s">
        <v>217</v>
      </c>
      <c r="B70" t="s">
        <v>218</v>
      </c>
      <c r="C70" t="s">
        <v>42</v>
      </c>
      <c r="D70">
        <v>567124.34587405447</v>
      </c>
      <c r="E70">
        <v>61924.148537627734</v>
      </c>
      <c r="F70" s="22">
        <f t="shared" si="4"/>
        <v>0.10918972001138476</v>
      </c>
      <c r="G70" t="e">
        <f>VLOOKUP(C70,host!F:O,9,0)</f>
        <v>#N/A</v>
      </c>
      <c r="H70" t="e">
        <f t="shared" si="5"/>
        <v>#N/A</v>
      </c>
      <c r="I70" t="e">
        <f t="shared" si="6"/>
        <v>#N/A</v>
      </c>
      <c r="J70" t="e">
        <f t="shared" si="7"/>
        <v>#N/A</v>
      </c>
    </row>
    <row r="71" spans="1:10">
      <c r="A71" t="s">
        <v>219</v>
      </c>
      <c r="B71" t="s">
        <v>220</v>
      </c>
      <c r="C71" t="s">
        <v>37</v>
      </c>
      <c r="D71">
        <v>70552.185644525889</v>
      </c>
      <c r="E71">
        <v>38754.038924881046</v>
      </c>
      <c r="F71" s="22">
        <f t="shared" si="4"/>
        <v>0.54929607879395237</v>
      </c>
      <c r="G71" t="e">
        <f>VLOOKUP(C71,host!F:O,9,0)</f>
        <v>#N/A</v>
      </c>
      <c r="H71" t="e">
        <f t="shared" si="5"/>
        <v>#N/A</v>
      </c>
      <c r="I71" t="e">
        <f t="shared" si="6"/>
        <v>#N/A</v>
      </c>
      <c r="J71" t="e">
        <f t="shared" si="7"/>
        <v>#N/A</v>
      </c>
    </row>
    <row r="72" spans="1:10">
      <c r="A72" t="s">
        <v>221</v>
      </c>
      <c r="B72" t="s">
        <v>222</v>
      </c>
      <c r="C72" t="s">
        <v>43</v>
      </c>
      <c r="D72">
        <v>249793.06200683941</v>
      </c>
      <c r="E72">
        <v>41273.765869449126</v>
      </c>
      <c r="F72" s="22">
        <f t="shared" si="4"/>
        <v>0.16523183445470971</v>
      </c>
      <c r="G72" t="e">
        <f>VLOOKUP(C72,host!F:O,9,0)</f>
        <v>#N/A</v>
      </c>
      <c r="H72" t="e">
        <f t="shared" si="5"/>
        <v>#N/A</v>
      </c>
      <c r="I72" t="e">
        <f t="shared" si="6"/>
        <v>#N/A</v>
      </c>
      <c r="J72" t="e">
        <f t="shared" si="7"/>
        <v>#N/A</v>
      </c>
    </row>
    <row r="73" spans="1:10">
      <c r="A73" t="s">
        <v>223</v>
      </c>
      <c r="B73" t="s">
        <v>224</v>
      </c>
      <c r="C73" t="s">
        <v>41</v>
      </c>
      <c r="D73">
        <v>145647.83576810625</v>
      </c>
      <c r="E73">
        <v>6491.8373487623458</v>
      </c>
      <c r="F73" s="22">
        <f t="shared" si="4"/>
        <v>4.4572151137888164E-2</v>
      </c>
      <c r="G73" t="e">
        <f>VLOOKUP(C73,host!F:O,9,0)</f>
        <v>#N/A</v>
      </c>
      <c r="H73" t="e">
        <f t="shared" si="5"/>
        <v>#N/A</v>
      </c>
      <c r="I73" t="e">
        <f t="shared" si="6"/>
        <v>#N/A</v>
      </c>
      <c r="J73" t="e">
        <f t="shared" si="7"/>
        <v>#N/A</v>
      </c>
    </row>
    <row r="74" spans="1:10">
      <c r="A74" t="s">
        <v>225</v>
      </c>
      <c r="B74" t="s">
        <v>226</v>
      </c>
      <c r="C74" t="s">
        <v>33</v>
      </c>
      <c r="D74">
        <v>1297241.667375939</v>
      </c>
      <c r="E74">
        <v>70899.127810786042</v>
      </c>
      <c r="F74" s="22">
        <f t="shared" si="4"/>
        <v>5.4653754650203945E-2</v>
      </c>
      <c r="G74" t="e">
        <f>VLOOKUP(C74,host!F:O,9,0)</f>
        <v>#N/A</v>
      </c>
      <c r="H74" t="e">
        <f t="shared" si="5"/>
        <v>#N/A</v>
      </c>
      <c r="I74" t="e">
        <f t="shared" si="6"/>
        <v>#N/A</v>
      </c>
      <c r="J74" t="e">
        <f t="shared" si="7"/>
        <v>#N/A</v>
      </c>
    </row>
    <row r="75" spans="1:10">
      <c r="A75" t="s">
        <v>227</v>
      </c>
      <c r="B75" t="s">
        <v>228</v>
      </c>
      <c r="C75" t="s">
        <v>38</v>
      </c>
      <c r="D75">
        <v>287461.73990137415</v>
      </c>
      <c r="E75">
        <v>38898.665130040165</v>
      </c>
      <c r="F75" s="22">
        <f t="shared" si="4"/>
        <v>0.13531771269242993</v>
      </c>
      <c r="G75" t="e">
        <f>VLOOKUP(C75,host!F:O,9,0)</f>
        <v>#N/A</v>
      </c>
      <c r="H75" t="e">
        <f t="shared" si="5"/>
        <v>#N/A</v>
      </c>
      <c r="I75" t="e">
        <f t="shared" si="6"/>
        <v>#N/A</v>
      </c>
      <c r="J75" t="e">
        <f t="shared" si="7"/>
        <v>#N/A</v>
      </c>
    </row>
    <row r="76" spans="1:10">
      <c r="A76" t="s">
        <v>229</v>
      </c>
      <c r="B76" t="s">
        <v>230</v>
      </c>
      <c r="C76" t="s">
        <v>44</v>
      </c>
      <c r="D76">
        <v>216623.09976733898</v>
      </c>
      <c r="E76">
        <v>38285.162590891356</v>
      </c>
      <c r="F76" s="22">
        <f t="shared" si="4"/>
        <v>0.1767362881983085</v>
      </c>
      <c r="G76" t="e">
        <f>VLOOKUP(C76,host!F:O,9,0)</f>
        <v>#N/A</v>
      </c>
      <c r="H76" t="e">
        <f t="shared" si="5"/>
        <v>#N/A</v>
      </c>
      <c r="I76" t="e">
        <f t="shared" si="6"/>
        <v>#N/A</v>
      </c>
      <c r="J76" t="e">
        <f t="shared" si="7"/>
        <v>#N/A</v>
      </c>
    </row>
    <row r="77" spans="1:10">
      <c r="A77" t="s">
        <v>231</v>
      </c>
      <c r="B77" t="s">
        <v>232</v>
      </c>
      <c r="C77" t="s">
        <v>35</v>
      </c>
      <c r="D77">
        <v>278264.8313261391</v>
      </c>
      <c r="E77">
        <v>2105.0628797511135</v>
      </c>
      <c r="F77" s="22">
        <f t="shared" si="4"/>
        <v>7.5649620173664119E-3</v>
      </c>
      <c r="G77" t="e">
        <f>VLOOKUP(C77,host!F:O,9,0)</f>
        <v>#N/A</v>
      </c>
      <c r="H77" t="e">
        <f t="shared" si="5"/>
        <v>#N/A</v>
      </c>
      <c r="I77" t="e">
        <f t="shared" si="6"/>
        <v>#N/A</v>
      </c>
      <c r="J77" t="e">
        <f t="shared" si="7"/>
        <v>#N/A</v>
      </c>
    </row>
    <row r="78" spans="1:10">
      <c r="A78" t="s">
        <v>233</v>
      </c>
      <c r="B78" t="s">
        <v>234</v>
      </c>
      <c r="C78" t="s">
        <v>33</v>
      </c>
      <c r="D78">
        <v>1297241.667375939</v>
      </c>
      <c r="E78">
        <v>5334.1462093281998</v>
      </c>
      <c r="F78" s="22">
        <f t="shared" si="4"/>
        <v>4.1119140276446049E-3</v>
      </c>
      <c r="G78" t="e">
        <f>VLOOKUP(C78,host!F:O,9,0)</f>
        <v>#N/A</v>
      </c>
      <c r="H78" t="e">
        <f t="shared" si="5"/>
        <v>#N/A</v>
      </c>
      <c r="I78" t="e">
        <f t="shared" si="6"/>
        <v>#N/A</v>
      </c>
      <c r="J78" t="e">
        <f t="shared" si="7"/>
        <v>#N/A</v>
      </c>
    </row>
    <row r="79" spans="1:10">
      <c r="A79" t="s">
        <v>235</v>
      </c>
      <c r="B79" t="s">
        <v>236</v>
      </c>
      <c r="C79" t="s">
        <v>38</v>
      </c>
      <c r="D79">
        <v>287461.73990137415</v>
      </c>
      <c r="E79">
        <v>34077.798482035752</v>
      </c>
      <c r="F79" s="22">
        <f t="shared" si="4"/>
        <v>0.11854724908340002</v>
      </c>
      <c r="G79" t="e">
        <f>VLOOKUP(C79,host!F:O,9,0)</f>
        <v>#N/A</v>
      </c>
      <c r="H79" t="e">
        <f t="shared" si="5"/>
        <v>#N/A</v>
      </c>
      <c r="I79" t="e">
        <f t="shared" si="6"/>
        <v>#N/A</v>
      </c>
      <c r="J79" t="e">
        <f t="shared" si="7"/>
        <v>#N/A</v>
      </c>
    </row>
    <row r="80" spans="1:10">
      <c r="A80" t="s">
        <v>237</v>
      </c>
      <c r="B80" t="s">
        <v>238</v>
      </c>
      <c r="C80" t="s">
        <v>41</v>
      </c>
      <c r="D80">
        <v>145647.83576810625</v>
      </c>
      <c r="E80">
        <v>38061.90868801219</v>
      </c>
      <c r="F80" s="22">
        <f t="shared" si="4"/>
        <v>0.26132835058814469</v>
      </c>
      <c r="G80" t="e">
        <f>VLOOKUP(C80,host!F:O,9,0)</f>
        <v>#N/A</v>
      </c>
      <c r="H80" t="e">
        <f t="shared" si="5"/>
        <v>#N/A</v>
      </c>
      <c r="I80" t="e">
        <f t="shared" si="6"/>
        <v>#N/A</v>
      </c>
      <c r="J80" t="e">
        <f t="shared" si="7"/>
        <v>#N/A</v>
      </c>
    </row>
    <row r="81" spans="1:10">
      <c r="A81" t="s">
        <v>239</v>
      </c>
      <c r="B81" t="s">
        <v>240</v>
      </c>
      <c r="C81" t="s">
        <v>44</v>
      </c>
      <c r="D81">
        <v>216623.09976733898</v>
      </c>
      <c r="E81">
        <v>101982.36376650557</v>
      </c>
      <c r="F81" s="22">
        <f t="shared" si="4"/>
        <v>0.47078249676991191</v>
      </c>
      <c r="G81" t="e">
        <f>VLOOKUP(C81,host!F:O,9,0)</f>
        <v>#N/A</v>
      </c>
      <c r="H81" t="e">
        <f t="shared" si="5"/>
        <v>#N/A</v>
      </c>
      <c r="I81" t="e">
        <f t="shared" si="6"/>
        <v>#N/A</v>
      </c>
      <c r="J81" t="e">
        <f t="shared" si="7"/>
        <v>#N/A</v>
      </c>
    </row>
    <row r="82" spans="1:10">
      <c r="A82" t="s">
        <v>241</v>
      </c>
      <c r="B82" t="s">
        <v>242</v>
      </c>
      <c r="C82" t="s">
        <v>45</v>
      </c>
      <c r="D82">
        <v>266421.84016764711</v>
      </c>
      <c r="E82">
        <v>34485.127668305235</v>
      </c>
      <c r="F82" s="22">
        <f t="shared" si="4"/>
        <v>0.12943806576294689</v>
      </c>
      <c r="G82" t="e">
        <f>VLOOKUP(C82,host!F:O,9,0)</f>
        <v>#N/A</v>
      </c>
      <c r="H82" t="e">
        <f t="shared" si="5"/>
        <v>#N/A</v>
      </c>
      <c r="I82" t="e">
        <f t="shared" si="6"/>
        <v>#N/A</v>
      </c>
      <c r="J82" t="e">
        <f t="shared" si="7"/>
        <v>#N/A</v>
      </c>
    </row>
    <row r="83" spans="1:10">
      <c r="A83" t="s">
        <v>243</v>
      </c>
      <c r="B83" t="s">
        <v>244</v>
      </c>
      <c r="C83" t="s">
        <v>42</v>
      </c>
      <c r="D83">
        <v>567124.34587405447</v>
      </c>
      <c r="E83">
        <v>16799.663699385517</v>
      </c>
      <c r="F83" s="22">
        <f t="shared" si="4"/>
        <v>2.9622540138871667E-2</v>
      </c>
      <c r="G83" t="e">
        <f>VLOOKUP(C83,host!F:O,9,0)</f>
        <v>#N/A</v>
      </c>
      <c r="H83" t="e">
        <f t="shared" si="5"/>
        <v>#N/A</v>
      </c>
      <c r="I83" t="e">
        <f t="shared" si="6"/>
        <v>#N/A</v>
      </c>
      <c r="J83" t="e">
        <f t="shared" si="7"/>
        <v>#N/A</v>
      </c>
    </row>
    <row r="84" spans="1:10">
      <c r="A84" t="s">
        <v>245</v>
      </c>
      <c r="B84" t="s">
        <v>246</v>
      </c>
      <c r="C84" t="s">
        <v>38</v>
      </c>
      <c r="D84">
        <v>287461.73990137415</v>
      </c>
      <c r="E84">
        <v>120500.27237651398</v>
      </c>
      <c r="F84" s="22">
        <f t="shared" si="4"/>
        <v>0.41918716702214587</v>
      </c>
      <c r="G84" t="e">
        <f>VLOOKUP(C84,host!F:O,9,0)</f>
        <v>#N/A</v>
      </c>
      <c r="H84" t="e">
        <f t="shared" si="5"/>
        <v>#N/A</v>
      </c>
      <c r="I84" t="e">
        <f t="shared" si="6"/>
        <v>#N/A</v>
      </c>
      <c r="J84" t="e">
        <f t="shared" si="7"/>
        <v>#N/A</v>
      </c>
    </row>
    <row r="85" spans="1:10">
      <c r="A85" t="s">
        <v>247</v>
      </c>
      <c r="B85" t="s">
        <v>248</v>
      </c>
      <c r="C85" t="s">
        <v>39</v>
      </c>
      <c r="D85">
        <v>144485.20258160552</v>
      </c>
      <c r="E85">
        <v>21279.305545206807</v>
      </c>
      <c r="F85" s="22">
        <f t="shared" si="4"/>
        <v>0.14727671183620492</v>
      </c>
      <c r="G85" t="e">
        <f>VLOOKUP(C85,host!F:O,9,0)</f>
        <v>#N/A</v>
      </c>
      <c r="H85" t="e">
        <f t="shared" si="5"/>
        <v>#N/A</v>
      </c>
      <c r="I85" t="e">
        <f t="shared" si="6"/>
        <v>#N/A</v>
      </c>
      <c r="J85" t="e">
        <f t="shared" si="7"/>
        <v>#N/A</v>
      </c>
    </row>
    <row r="86" spans="1:10">
      <c r="A86" t="s">
        <v>249</v>
      </c>
      <c r="B86" t="s">
        <v>250</v>
      </c>
      <c r="C86" t="s">
        <v>38</v>
      </c>
      <c r="D86">
        <v>287461.73990137415</v>
      </c>
      <c r="E86">
        <v>19934.742163991163</v>
      </c>
      <c r="F86" s="22">
        <f t="shared" si="4"/>
        <v>6.9347462277347297E-2</v>
      </c>
      <c r="G86" t="e">
        <f>VLOOKUP(C86,host!F:O,9,0)</f>
        <v>#N/A</v>
      </c>
      <c r="H86" t="e">
        <f t="shared" si="5"/>
        <v>#N/A</v>
      </c>
      <c r="I86" t="e">
        <f t="shared" si="6"/>
        <v>#N/A</v>
      </c>
      <c r="J86" t="e">
        <f t="shared" si="7"/>
        <v>#N/A</v>
      </c>
    </row>
    <row r="87" spans="1:10">
      <c r="A87" t="s">
        <v>251</v>
      </c>
      <c r="B87" t="s">
        <v>252</v>
      </c>
      <c r="C87" t="s">
        <v>42</v>
      </c>
      <c r="D87">
        <v>567124.34587405447</v>
      </c>
      <c r="E87">
        <v>41310.784593872071</v>
      </c>
      <c r="F87" s="22">
        <f t="shared" si="4"/>
        <v>7.2842551892572535E-2</v>
      </c>
      <c r="G87" t="e">
        <f>VLOOKUP(C87,host!F:O,9,0)</f>
        <v>#N/A</v>
      </c>
      <c r="H87" t="e">
        <f t="shared" si="5"/>
        <v>#N/A</v>
      </c>
      <c r="I87" t="e">
        <f t="shared" si="6"/>
        <v>#N/A</v>
      </c>
      <c r="J87" t="e">
        <f t="shared" si="7"/>
        <v>#N/A</v>
      </c>
    </row>
    <row r="88" spans="1:10">
      <c r="A88" t="s">
        <v>253</v>
      </c>
      <c r="B88" t="s">
        <v>254</v>
      </c>
      <c r="C88" t="s">
        <v>45</v>
      </c>
      <c r="D88">
        <v>266421.84016764711</v>
      </c>
      <c r="E88">
        <v>50480.738786150709</v>
      </c>
      <c r="F88" s="22">
        <f t="shared" si="4"/>
        <v>0.18947672891376127</v>
      </c>
      <c r="G88" t="e">
        <f>VLOOKUP(C88,host!F:O,9,0)</f>
        <v>#N/A</v>
      </c>
      <c r="H88" t="e">
        <f t="shared" si="5"/>
        <v>#N/A</v>
      </c>
      <c r="I88" t="e">
        <f t="shared" si="6"/>
        <v>#N/A</v>
      </c>
      <c r="J88" t="e">
        <f t="shared" si="7"/>
        <v>#N/A</v>
      </c>
    </row>
    <row r="89" spans="1:10">
      <c r="A89" t="s">
        <v>255</v>
      </c>
      <c r="B89" t="s">
        <v>256</v>
      </c>
      <c r="C89" t="s">
        <v>42</v>
      </c>
      <c r="D89">
        <v>567124.34587405447</v>
      </c>
      <c r="E89">
        <v>28188.133078608113</v>
      </c>
      <c r="F89" s="22">
        <f t="shared" si="4"/>
        <v>4.9703620173745917E-2</v>
      </c>
      <c r="G89" t="e">
        <f>VLOOKUP(C89,host!F:O,9,0)</f>
        <v>#N/A</v>
      </c>
      <c r="H89" t="e">
        <f t="shared" si="5"/>
        <v>#N/A</v>
      </c>
      <c r="I89" t="e">
        <f t="shared" si="6"/>
        <v>#N/A</v>
      </c>
      <c r="J89" t="e">
        <f t="shared" si="7"/>
        <v>#N/A</v>
      </c>
    </row>
    <row r="90" spans="1:10">
      <c r="A90" t="s">
        <v>257</v>
      </c>
      <c r="B90" t="s">
        <v>258</v>
      </c>
      <c r="C90" t="s">
        <v>35</v>
      </c>
      <c r="D90">
        <v>278264.8313261391</v>
      </c>
      <c r="E90">
        <v>50706.221834503725</v>
      </c>
      <c r="F90" s="22">
        <f t="shared" si="4"/>
        <v>0.18222289030507674</v>
      </c>
      <c r="G90" t="e">
        <f>VLOOKUP(C90,host!F:O,9,0)</f>
        <v>#N/A</v>
      </c>
      <c r="H90" t="e">
        <f t="shared" si="5"/>
        <v>#N/A</v>
      </c>
      <c r="I90" t="e">
        <f t="shared" si="6"/>
        <v>#N/A</v>
      </c>
      <c r="J90" t="e">
        <f t="shared" si="7"/>
        <v>#N/A</v>
      </c>
    </row>
    <row r="91" spans="1:10">
      <c r="A91" t="s">
        <v>259</v>
      </c>
      <c r="B91" t="s">
        <v>260</v>
      </c>
      <c r="C91" t="s">
        <v>43</v>
      </c>
      <c r="D91">
        <v>249793.06200683941</v>
      </c>
      <c r="E91">
        <v>31902.140405982962</v>
      </c>
      <c r="F91" s="22">
        <f t="shared" si="4"/>
        <v>0.1277142773689586</v>
      </c>
      <c r="G91" t="e">
        <f>VLOOKUP(C91,host!F:O,9,0)</f>
        <v>#N/A</v>
      </c>
      <c r="H91" t="e">
        <f t="shared" si="5"/>
        <v>#N/A</v>
      </c>
      <c r="I91" t="e">
        <f t="shared" si="6"/>
        <v>#N/A</v>
      </c>
      <c r="J91" t="e">
        <f t="shared" si="7"/>
        <v>#N/A</v>
      </c>
    </row>
    <row r="92" spans="1:10">
      <c r="A92" t="s">
        <v>261</v>
      </c>
      <c r="B92" t="s">
        <v>262</v>
      </c>
      <c r="C92" t="s">
        <v>45</v>
      </c>
      <c r="D92">
        <v>266421.84016764711</v>
      </c>
      <c r="E92">
        <v>31412.810305780222</v>
      </c>
      <c r="F92" s="22">
        <f t="shared" si="4"/>
        <v>0.11790628833587206</v>
      </c>
      <c r="G92" t="e">
        <f>VLOOKUP(C92,host!F:O,9,0)</f>
        <v>#N/A</v>
      </c>
      <c r="H92" t="e">
        <f t="shared" si="5"/>
        <v>#N/A</v>
      </c>
      <c r="I92" t="e">
        <f t="shared" si="6"/>
        <v>#N/A</v>
      </c>
      <c r="J92" t="e">
        <f t="shared" si="7"/>
        <v>#N/A</v>
      </c>
    </row>
    <row r="93" spans="1:10">
      <c r="A93" t="s">
        <v>263</v>
      </c>
      <c r="B93" t="s">
        <v>264</v>
      </c>
      <c r="C93" t="s">
        <v>45</v>
      </c>
      <c r="D93">
        <v>266421.84016764711</v>
      </c>
      <c r="E93">
        <v>30390.37548197712</v>
      </c>
      <c r="F93" s="22">
        <f t="shared" si="4"/>
        <v>0.11406863439894359</v>
      </c>
      <c r="G93" t="e">
        <f>VLOOKUP(C93,host!F:O,9,0)</f>
        <v>#N/A</v>
      </c>
      <c r="H93" t="e">
        <f t="shared" si="5"/>
        <v>#N/A</v>
      </c>
      <c r="I93" t="e">
        <f t="shared" si="6"/>
        <v>#N/A</v>
      </c>
      <c r="J93" t="e">
        <f t="shared" si="7"/>
        <v>#N/A</v>
      </c>
    </row>
    <row r="94" spans="1:10">
      <c r="A94" t="s">
        <v>265</v>
      </c>
      <c r="B94" t="s">
        <v>266</v>
      </c>
      <c r="C94" t="s">
        <v>41</v>
      </c>
      <c r="D94">
        <v>145647.83576810625</v>
      </c>
      <c r="E94">
        <v>12045.127639263517</v>
      </c>
      <c r="F94" s="22">
        <f t="shared" si="4"/>
        <v>8.270035442504764E-2</v>
      </c>
      <c r="G94" t="e">
        <f>VLOOKUP(C94,host!F:O,9,0)</f>
        <v>#N/A</v>
      </c>
      <c r="H94" t="e">
        <f t="shared" si="5"/>
        <v>#N/A</v>
      </c>
      <c r="I94" t="e">
        <f t="shared" si="6"/>
        <v>#N/A</v>
      </c>
      <c r="J94" t="e">
        <f t="shared" si="7"/>
        <v>#N/A</v>
      </c>
    </row>
    <row r="95" spans="1:10">
      <c r="A95" t="s">
        <v>267</v>
      </c>
      <c r="B95" t="s">
        <v>268</v>
      </c>
      <c r="C95" t="s">
        <v>44</v>
      </c>
      <c r="D95">
        <v>216623.09976733898</v>
      </c>
      <c r="E95">
        <v>16653.902635965889</v>
      </c>
      <c r="F95" s="22">
        <f t="shared" si="4"/>
        <v>7.6879624813109879E-2</v>
      </c>
      <c r="G95" t="e">
        <f>VLOOKUP(C95,host!F:O,9,0)</f>
        <v>#N/A</v>
      </c>
      <c r="H95" t="e">
        <f t="shared" si="5"/>
        <v>#N/A</v>
      </c>
      <c r="I95" t="e">
        <f t="shared" si="6"/>
        <v>#N/A</v>
      </c>
      <c r="J95" t="e">
        <f t="shared" si="7"/>
        <v>#N/A</v>
      </c>
    </row>
    <row r="96" spans="1:10">
      <c r="A96" t="s">
        <v>269</v>
      </c>
      <c r="B96" t="s">
        <v>270</v>
      </c>
      <c r="C96" t="s">
        <v>33</v>
      </c>
      <c r="D96">
        <v>1297241.667375939</v>
      </c>
      <c r="E96">
        <v>20385.566634084447</v>
      </c>
      <c r="F96" s="22">
        <f t="shared" si="4"/>
        <v>1.5714548142228873E-2</v>
      </c>
      <c r="G96" t="e">
        <f>VLOOKUP(C96,host!F:O,9,0)</f>
        <v>#N/A</v>
      </c>
      <c r="H96" t="e">
        <f t="shared" si="5"/>
        <v>#N/A</v>
      </c>
      <c r="I96" t="e">
        <f t="shared" si="6"/>
        <v>#N/A</v>
      </c>
      <c r="J96" t="e">
        <f t="shared" si="7"/>
        <v>#N/A</v>
      </c>
    </row>
    <row r="97" spans="1:10">
      <c r="A97" t="s">
        <v>271</v>
      </c>
      <c r="B97" t="s">
        <v>272</v>
      </c>
      <c r="C97" t="s">
        <v>33</v>
      </c>
      <c r="D97">
        <v>1297241.667375939</v>
      </c>
      <c r="E97">
        <v>36854.377244707277</v>
      </c>
      <c r="F97" s="22">
        <f t="shared" si="4"/>
        <v>2.8409800711425133E-2</v>
      </c>
      <c r="G97" t="e">
        <f>VLOOKUP(C97,host!F:O,9,0)</f>
        <v>#N/A</v>
      </c>
      <c r="H97" t="e">
        <f t="shared" si="5"/>
        <v>#N/A</v>
      </c>
      <c r="I97" t="e">
        <f t="shared" si="6"/>
        <v>#N/A</v>
      </c>
      <c r="J97" t="e">
        <f t="shared" si="7"/>
        <v>#N/A</v>
      </c>
    </row>
    <row r="98" spans="1:10">
      <c r="A98" t="s">
        <v>273</v>
      </c>
      <c r="B98" t="s">
        <v>274</v>
      </c>
      <c r="C98" t="s">
        <v>42</v>
      </c>
      <c r="D98">
        <v>567124.34587405447</v>
      </c>
      <c r="E98">
        <v>23854.053934130625</v>
      </c>
      <c r="F98" s="22">
        <f t="shared" si="4"/>
        <v>4.2061417584474625E-2</v>
      </c>
      <c r="G98" t="e">
        <f>VLOOKUP(C98,host!F:O,9,0)</f>
        <v>#N/A</v>
      </c>
      <c r="H98" t="e">
        <f t="shared" si="5"/>
        <v>#N/A</v>
      </c>
      <c r="I98" t="e">
        <f t="shared" si="6"/>
        <v>#N/A</v>
      </c>
      <c r="J98" t="e">
        <f t="shared" si="7"/>
        <v>#N/A</v>
      </c>
    </row>
    <row r="99" spans="1:10">
      <c r="A99" t="s">
        <v>275</v>
      </c>
      <c r="B99" t="s">
        <v>276</v>
      </c>
      <c r="C99" t="s">
        <v>41</v>
      </c>
      <c r="D99">
        <v>145647.83576810625</v>
      </c>
      <c r="E99">
        <v>9152.6063737516542</v>
      </c>
      <c r="F99" s="22">
        <f t="shared" si="4"/>
        <v>6.2840661692522573E-2</v>
      </c>
      <c r="G99" t="e">
        <f>VLOOKUP(C99,host!F:O,9,0)</f>
        <v>#N/A</v>
      </c>
      <c r="H99" t="e">
        <f t="shared" si="5"/>
        <v>#N/A</v>
      </c>
      <c r="I99" t="e">
        <f t="shared" si="6"/>
        <v>#N/A</v>
      </c>
      <c r="J99" t="e">
        <f t="shared" si="7"/>
        <v>#N/A</v>
      </c>
    </row>
    <row r="100" spans="1:10">
      <c r="A100" t="s">
        <v>277</v>
      </c>
      <c r="B100" t="s">
        <v>278</v>
      </c>
      <c r="C100" t="s">
        <v>43</v>
      </c>
      <c r="D100">
        <v>249793.06200683941</v>
      </c>
      <c r="E100">
        <v>14696.255860479852</v>
      </c>
      <c r="F100" s="22">
        <f t="shared" si="4"/>
        <v>5.8833723172333201E-2</v>
      </c>
      <c r="G100" t="e">
        <f>VLOOKUP(C100,host!F:O,9,0)</f>
        <v>#N/A</v>
      </c>
      <c r="H100" t="e">
        <f t="shared" si="5"/>
        <v>#N/A</v>
      </c>
      <c r="I100" t="e">
        <f t="shared" si="6"/>
        <v>#N/A</v>
      </c>
      <c r="J100" t="e">
        <f t="shared" si="7"/>
        <v>#N/A</v>
      </c>
    </row>
    <row r="101" spans="1:10">
      <c r="A101" t="s">
        <v>279</v>
      </c>
      <c r="B101" t="s">
        <v>280</v>
      </c>
      <c r="C101" t="s">
        <v>45</v>
      </c>
      <c r="D101">
        <v>266421.84016764711</v>
      </c>
      <c r="E101">
        <v>44193.472054504578</v>
      </c>
      <c r="F101" s="22">
        <f t="shared" si="4"/>
        <v>0.16587781251978306</v>
      </c>
      <c r="G101" t="e">
        <f>VLOOKUP(C101,host!F:O,9,0)</f>
        <v>#N/A</v>
      </c>
      <c r="H101" t="e">
        <f t="shared" si="5"/>
        <v>#N/A</v>
      </c>
      <c r="I101" t="e">
        <f t="shared" si="6"/>
        <v>#N/A</v>
      </c>
      <c r="J101" t="e">
        <f t="shared" si="7"/>
        <v>#N/A</v>
      </c>
    </row>
    <row r="102" spans="1:10">
      <c r="A102" t="s">
        <v>281</v>
      </c>
      <c r="B102" t="s">
        <v>282</v>
      </c>
      <c r="C102" t="s">
        <v>42</v>
      </c>
      <c r="D102">
        <v>567124.34587405447</v>
      </c>
      <c r="E102">
        <v>138173.79864497972</v>
      </c>
      <c r="F102" s="22">
        <f t="shared" si="4"/>
        <v>0.24363933527139567</v>
      </c>
      <c r="G102" t="e">
        <f>VLOOKUP(C102,host!F:O,9,0)</f>
        <v>#N/A</v>
      </c>
      <c r="H102" t="e">
        <f t="shared" si="5"/>
        <v>#N/A</v>
      </c>
      <c r="I102" t="e">
        <f t="shared" si="6"/>
        <v>#N/A</v>
      </c>
      <c r="J102" t="e">
        <f t="shared" si="7"/>
        <v>#N/A</v>
      </c>
    </row>
    <row r="103" spans="1:10">
      <c r="A103" t="s">
        <v>283</v>
      </c>
      <c r="B103" t="s">
        <v>284</v>
      </c>
      <c r="C103" t="s">
        <v>41</v>
      </c>
      <c r="D103">
        <v>145647.83576810625</v>
      </c>
      <c r="E103">
        <v>52428.659572306598</v>
      </c>
      <c r="F103" s="22">
        <f t="shared" si="4"/>
        <v>0.35996868265025983</v>
      </c>
      <c r="G103" t="e">
        <f>VLOOKUP(C103,host!F:O,9,0)</f>
        <v>#N/A</v>
      </c>
      <c r="H103" t="e">
        <f t="shared" si="5"/>
        <v>#N/A</v>
      </c>
      <c r="I103" t="e">
        <f t="shared" si="6"/>
        <v>#N/A</v>
      </c>
      <c r="J103" t="e">
        <f t="shared" si="7"/>
        <v>#N/A</v>
      </c>
    </row>
    <row r="104" spans="1:10">
      <c r="A104" t="s">
        <v>285</v>
      </c>
      <c r="B104" t="s">
        <v>286</v>
      </c>
      <c r="C104" t="s">
        <v>38</v>
      </c>
      <c r="D104">
        <v>287461.73990137415</v>
      </c>
      <c r="E104">
        <v>10258.791130110443</v>
      </c>
      <c r="F104" s="22">
        <f t="shared" si="4"/>
        <v>3.5687500999716182E-2</v>
      </c>
      <c r="G104" t="e">
        <f>VLOOKUP(C104,host!F:O,9,0)</f>
        <v>#N/A</v>
      </c>
      <c r="H104" t="e">
        <f t="shared" si="5"/>
        <v>#N/A</v>
      </c>
      <c r="I104" t="e">
        <f t="shared" si="6"/>
        <v>#N/A</v>
      </c>
      <c r="J104" t="e">
        <f t="shared" si="7"/>
        <v>#N/A</v>
      </c>
    </row>
    <row r="105" spans="1:10">
      <c r="A105" t="s">
        <v>287</v>
      </c>
      <c r="B105" t="s">
        <v>288</v>
      </c>
      <c r="C105" t="s">
        <v>43</v>
      </c>
      <c r="D105">
        <v>249793.06200683941</v>
      </c>
      <c r="E105">
        <v>34030.8514310463</v>
      </c>
      <c r="F105" s="22">
        <f t="shared" si="4"/>
        <v>0.13623617548718997</v>
      </c>
      <c r="G105" t="e">
        <f>VLOOKUP(C105,host!F:O,9,0)</f>
        <v>#N/A</v>
      </c>
      <c r="H105" t="e">
        <f t="shared" si="5"/>
        <v>#N/A</v>
      </c>
      <c r="I105" t="e">
        <f t="shared" si="6"/>
        <v>#N/A</v>
      </c>
      <c r="J105" t="e">
        <f t="shared" si="7"/>
        <v>#N/A</v>
      </c>
    </row>
    <row r="106" spans="1:10">
      <c r="A106" t="s">
        <v>289</v>
      </c>
      <c r="B106" t="s">
        <v>290</v>
      </c>
      <c r="C106" t="s">
        <v>38</v>
      </c>
      <c r="D106">
        <v>287461.73990137415</v>
      </c>
      <c r="E106">
        <v>5807.7061970620252</v>
      </c>
      <c r="F106" s="22">
        <f t="shared" si="4"/>
        <v>2.020340584821689E-2</v>
      </c>
      <c r="G106" t="e">
        <f>VLOOKUP(C106,host!F:O,9,0)</f>
        <v>#N/A</v>
      </c>
      <c r="H106" t="e">
        <f t="shared" si="5"/>
        <v>#N/A</v>
      </c>
      <c r="I106" t="e">
        <f t="shared" si="6"/>
        <v>#N/A</v>
      </c>
      <c r="J106" t="e">
        <f t="shared" si="7"/>
        <v>#N/A</v>
      </c>
    </row>
    <row r="107" spans="1:10">
      <c r="A107" t="s">
        <v>291</v>
      </c>
      <c r="B107" t="s">
        <v>292</v>
      </c>
      <c r="C107" t="s">
        <v>44</v>
      </c>
      <c r="D107">
        <v>216623.09976733898</v>
      </c>
      <c r="E107">
        <v>25988.88167836209</v>
      </c>
      <c r="F107" s="22">
        <f t="shared" si="4"/>
        <v>0.11997280856139113</v>
      </c>
      <c r="G107" t="e">
        <f>VLOOKUP(C107,host!F:O,9,0)</f>
        <v>#N/A</v>
      </c>
      <c r="H107" t="e">
        <f t="shared" si="5"/>
        <v>#N/A</v>
      </c>
      <c r="I107" t="e">
        <f t="shared" si="6"/>
        <v>#N/A</v>
      </c>
      <c r="J107" t="e">
        <f t="shared" si="7"/>
        <v>#N/A</v>
      </c>
    </row>
    <row r="108" spans="1:10">
      <c r="A108" t="s">
        <v>293</v>
      </c>
      <c r="B108" t="s">
        <v>294</v>
      </c>
      <c r="C108" t="s">
        <v>35</v>
      </c>
      <c r="D108">
        <v>278264.8313261391</v>
      </c>
      <c r="E108">
        <v>28384.79517887333</v>
      </c>
      <c r="F108" s="22">
        <f t="shared" si="4"/>
        <v>0.1020064053498915</v>
      </c>
      <c r="G108" t="e">
        <f>VLOOKUP(C108,host!F:O,9,0)</f>
        <v>#N/A</v>
      </c>
      <c r="H108" t="e">
        <f t="shared" si="5"/>
        <v>#N/A</v>
      </c>
      <c r="I108" t="e">
        <f t="shared" si="6"/>
        <v>#N/A</v>
      </c>
      <c r="J108" t="e">
        <f t="shared" si="7"/>
        <v>#N/A</v>
      </c>
    </row>
    <row r="109" spans="1:10">
      <c r="A109" t="s">
        <v>295</v>
      </c>
      <c r="B109" t="s">
        <v>296</v>
      </c>
      <c r="C109" t="s">
        <v>46</v>
      </c>
      <c r="D109">
        <v>300466.72394593147</v>
      </c>
      <c r="E109">
        <v>20452.713211740753</v>
      </c>
      <c r="F109" s="22">
        <f t="shared" si="4"/>
        <v>6.806981133598404E-2</v>
      </c>
      <c r="G109" t="e">
        <f>VLOOKUP(C109,host!F:O,9,0)</f>
        <v>#N/A</v>
      </c>
      <c r="H109" t="e">
        <f t="shared" si="5"/>
        <v>#N/A</v>
      </c>
      <c r="I109" t="e">
        <f t="shared" si="6"/>
        <v>#N/A</v>
      </c>
      <c r="J109" t="e">
        <f t="shared" si="7"/>
        <v>#N/A</v>
      </c>
    </row>
    <row r="110" spans="1:10">
      <c r="A110" t="s">
        <v>297</v>
      </c>
      <c r="B110" t="s">
        <v>298</v>
      </c>
      <c r="C110" t="s">
        <v>33</v>
      </c>
      <c r="D110">
        <v>1297241.667375939</v>
      </c>
      <c r="E110">
        <v>16602.940841645526</v>
      </c>
      <c r="F110" s="22">
        <f t="shared" si="4"/>
        <v>1.2798649056062131E-2</v>
      </c>
      <c r="G110" t="e">
        <f>VLOOKUP(C110,host!F:O,9,0)</f>
        <v>#N/A</v>
      </c>
      <c r="H110" t="e">
        <f t="shared" si="5"/>
        <v>#N/A</v>
      </c>
      <c r="I110" t="e">
        <f t="shared" si="6"/>
        <v>#N/A</v>
      </c>
      <c r="J110" t="e">
        <f t="shared" si="7"/>
        <v>#N/A</v>
      </c>
    </row>
    <row r="111" spans="1:10">
      <c r="A111" t="s">
        <v>299</v>
      </c>
      <c r="B111" t="s">
        <v>300</v>
      </c>
      <c r="C111" t="s">
        <v>43</v>
      </c>
      <c r="D111">
        <v>249793.06200683941</v>
      </c>
      <c r="E111">
        <v>27039.462569379073</v>
      </c>
      <c r="F111" s="22">
        <f t="shared" si="4"/>
        <v>0.10824745231970744</v>
      </c>
      <c r="G111" t="e">
        <f>VLOOKUP(C111,host!F:O,9,0)</f>
        <v>#N/A</v>
      </c>
      <c r="H111" t="e">
        <f t="shared" si="5"/>
        <v>#N/A</v>
      </c>
      <c r="I111" t="e">
        <f t="shared" si="6"/>
        <v>#N/A</v>
      </c>
      <c r="J111" t="e">
        <f t="shared" si="7"/>
        <v>#N/A</v>
      </c>
    </row>
    <row r="112" spans="1:10">
      <c r="A112" t="s">
        <v>301</v>
      </c>
      <c r="B112" t="s">
        <v>302</v>
      </c>
      <c r="C112" t="s">
        <v>45</v>
      </c>
      <c r="D112">
        <v>266421.84016764711</v>
      </c>
      <c r="E112">
        <v>36212.42187148636</v>
      </c>
      <c r="F112" s="22">
        <f t="shared" si="4"/>
        <v>0.13592137134365387</v>
      </c>
      <c r="G112" t="e">
        <f>VLOOKUP(C112,host!F:O,9,0)</f>
        <v>#N/A</v>
      </c>
      <c r="H112" t="e">
        <f t="shared" si="5"/>
        <v>#N/A</v>
      </c>
      <c r="I112" t="e">
        <f t="shared" si="6"/>
        <v>#N/A</v>
      </c>
      <c r="J112" t="e">
        <f t="shared" si="7"/>
        <v>#N/A</v>
      </c>
    </row>
    <row r="113" spans="1:10">
      <c r="A113" t="s">
        <v>303</v>
      </c>
      <c r="B113" t="s">
        <v>304</v>
      </c>
      <c r="C113" t="s">
        <v>42</v>
      </c>
      <c r="D113">
        <v>567124.34587405447</v>
      </c>
      <c r="E113">
        <v>93201.267172137523</v>
      </c>
      <c r="F113" s="22">
        <f t="shared" si="4"/>
        <v>0.1643400919925159</v>
      </c>
      <c r="G113" t="e">
        <f>VLOOKUP(C113,host!F:O,9,0)</f>
        <v>#N/A</v>
      </c>
      <c r="H113" t="e">
        <f t="shared" si="5"/>
        <v>#N/A</v>
      </c>
      <c r="I113" t="e">
        <f t="shared" si="6"/>
        <v>#N/A</v>
      </c>
      <c r="J113" t="e">
        <f t="shared" si="7"/>
        <v>#N/A</v>
      </c>
    </row>
    <row r="114" spans="1:10">
      <c r="A114" t="s">
        <v>305</v>
      </c>
      <c r="B114" t="s">
        <v>306</v>
      </c>
      <c r="C114" t="s">
        <v>35</v>
      </c>
      <c r="D114">
        <v>278264.8313261391</v>
      </c>
      <c r="E114">
        <v>5914.8548871760058</v>
      </c>
      <c r="F114" s="22">
        <f t="shared" si="4"/>
        <v>2.1256207113875363E-2</v>
      </c>
      <c r="G114" t="e">
        <f>VLOOKUP(C114,host!F:O,9,0)</f>
        <v>#N/A</v>
      </c>
      <c r="H114" t="e">
        <f t="shared" si="5"/>
        <v>#N/A</v>
      </c>
      <c r="I114" t="e">
        <f t="shared" si="6"/>
        <v>#N/A</v>
      </c>
      <c r="J114" t="e">
        <f t="shared" si="7"/>
        <v>#N/A</v>
      </c>
    </row>
    <row r="115" spans="1:10">
      <c r="A115" t="s">
        <v>307</v>
      </c>
      <c r="B115" t="s">
        <v>308</v>
      </c>
      <c r="C115" t="s">
        <v>47</v>
      </c>
      <c r="D115">
        <v>226895.90131382181</v>
      </c>
      <c r="E115">
        <v>28608.626195584133</v>
      </c>
      <c r="F115" s="22">
        <f t="shared" si="4"/>
        <v>0.12608701184079688</v>
      </c>
      <c r="G115" t="e">
        <f>VLOOKUP(C115,host!F:O,9,0)</f>
        <v>#N/A</v>
      </c>
      <c r="H115" t="e">
        <f t="shared" si="5"/>
        <v>#N/A</v>
      </c>
      <c r="I115" t="e">
        <f t="shared" si="6"/>
        <v>#N/A</v>
      </c>
      <c r="J115" t="e">
        <f t="shared" si="7"/>
        <v>#N/A</v>
      </c>
    </row>
    <row r="116" spans="1:10">
      <c r="A116" t="s">
        <v>309</v>
      </c>
      <c r="B116" t="s">
        <v>310</v>
      </c>
      <c r="C116" t="s">
        <v>35</v>
      </c>
      <c r="D116">
        <v>278264.8313261391</v>
      </c>
      <c r="E116">
        <v>14434.786103634877</v>
      </c>
      <c r="F116" s="22">
        <f t="shared" si="4"/>
        <v>5.1874273995899424E-2</v>
      </c>
      <c r="G116" t="e">
        <f>VLOOKUP(C116,host!F:O,9,0)</f>
        <v>#N/A</v>
      </c>
      <c r="H116" t="e">
        <f t="shared" si="5"/>
        <v>#N/A</v>
      </c>
      <c r="I116" t="e">
        <f t="shared" si="6"/>
        <v>#N/A</v>
      </c>
      <c r="J116" t="e">
        <f t="shared" si="7"/>
        <v>#N/A</v>
      </c>
    </row>
    <row r="117" spans="1:10">
      <c r="A117" t="s">
        <v>311</v>
      </c>
      <c r="B117" t="s">
        <v>312</v>
      </c>
      <c r="C117" t="s">
        <v>44</v>
      </c>
      <c r="D117">
        <v>216623.09976733898</v>
      </c>
      <c r="E117">
        <v>9983.0316359442222</v>
      </c>
      <c r="F117" s="22">
        <f t="shared" si="4"/>
        <v>4.6084797266156559E-2</v>
      </c>
      <c r="G117" t="e">
        <f>VLOOKUP(C117,host!F:O,9,0)</f>
        <v>#N/A</v>
      </c>
      <c r="H117" t="e">
        <f t="shared" si="5"/>
        <v>#N/A</v>
      </c>
      <c r="I117" t="e">
        <f t="shared" si="6"/>
        <v>#N/A</v>
      </c>
      <c r="J117" t="e">
        <f t="shared" si="7"/>
        <v>#N/A</v>
      </c>
    </row>
    <row r="118" spans="1:10">
      <c r="A118" t="s">
        <v>313</v>
      </c>
      <c r="B118" t="s">
        <v>314</v>
      </c>
      <c r="C118" t="s">
        <v>45</v>
      </c>
      <c r="D118">
        <v>266421.84016764711</v>
      </c>
      <c r="E118">
        <v>39246.893999443157</v>
      </c>
      <c r="F118" s="22">
        <f t="shared" si="4"/>
        <v>0.14731109872504025</v>
      </c>
      <c r="G118" t="e">
        <f>VLOOKUP(C118,host!F:O,9,0)</f>
        <v>#N/A</v>
      </c>
      <c r="H118" t="e">
        <f t="shared" si="5"/>
        <v>#N/A</v>
      </c>
      <c r="I118" t="e">
        <f t="shared" si="6"/>
        <v>#N/A</v>
      </c>
      <c r="J118" t="e">
        <f t="shared" si="7"/>
        <v>#N/A</v>
      </c>
    </row>
    <row r="119" spans="1:10">
      <c r="A119" t="s">
        <v>315</v>
      </c>
      <c r="B119" t="s">
        <v>316</v>
      </c>
      <c r="C119" t="s">
        <v>42</v>
      </c>
      <c r="D119">
        <v>567124.34587405447</v>
      </c>
      <c r="E119">
        <v>19566.05392835883</v>
      </c>
      <c r="F119" s="22">
        <f t="shared" si="4"/>
        <v>3.4500465498802639E-2</v>
      </c>
      <c r="G119" t="e">
        <f>VLOOKUP(C119,host!F:O,9,0)</f>
        <v>#N/A</v>
      </c>
      <c r="H119" t="e">
        <f t="shared" si="5"/>
        <v>#N/A</v>
      </c>
      <c r="I119" t="e">
        <f t="shared" si="6"/>
        <v>#N/A</v>
      </c>
      <c r="J119" t="e">
        <f t="shared" si="7"/>
        <v>#N/A</v>
      </c>
    </row>
    <row r="120" spans="1:10">
      <c r="A120" t="s">
        <v>317</v>
      </c>
      <c r="B120" t="s">
        <v>318</v>
      </c>
      <c r="C120" t="s">
        <v>48</v>
      </c>
      <c r="D120">
        <v>146942.20946624695</v>
      </c>
      <c r="E120">
        <v>53238.751841588048</v>
      </c>
      <c r="F120" s="22">
        <f t="shared" si="4"/>
        <v>0.36231081617033356</v>
      </c>
      <c r="G120" t="e">
        <f>VLOOKUP(C120,host!F:O,9,0)</f>
        <v>#N/A</v>
      </c>
      <c r="H120" t="e">
        <f t="shared" si="5"/>
        <v>#N/A</v>
      </c>
      <c r="I120" t="e">
        <f t="shared" si="6"/>
        <v>#N/A</v>
      </c>
      <c r="J120" t="e">
        <f t="shared" si="7"/>
        <v>#N/A</v>
      </c>
    </row>
    <row r="121" spans="1:10">
      <c r="A121" t="s">
        <v>319</v>
      </c>
      <c r="B121" t="s">
        <v>320</v>
      </c>
      <c r="C121" t="s">
        <v>43</v>
      </c>
      <c r="D121">
        <v>249793.06200683941</v>
      </c>
      <c r="E121">
        <v>19924.158618794045</v>
      </c>
      <c r="F121" s="22">
        <f t="shared" si="4"/>
        <v>7.9762658172821937E-2</v>
      </c>
      <c r="G121" t="e">
        <f>VLOOKUP(C121,host!F:O,9,0)</f>
        <v>#N/A</v>
      </c>
      <c r="H121" t="e">
        <f t="shared" si="5"/>
        <v>#N/A</v>
      </c>
      <c r="I121" t="e">
        <f t="shared" si="6"/>
        <v>#N/A</v>
      </c>
      <c r="J121" t="e">
        <f t="shared" si="7"/>
        <v>#N/A</v>
      </c>
    </row>
    <row r="122" spans="1:10">
      <c r="A122" t="s">
        <v>321</v>
      </c>
      <c r="B122" t="s">
        <v>322</v>
      </c>
      <c r="C122" t="s">
        <v>42</v>
      </c>
      <c r="D122">
        <v>567124.34587405447</v>
      </c>
      <c r="E122">
        <v>27627.027964712393</v>
      </c>
      <c r="F122" s="22">
        <f t="shared" si="4"/>
        <v>4.8714233775546172E-2</v>
      </c>
      <c r="G122" t="e">
        <f>VLOOKUP(C122,host!F:O,9,0)</f>
        <v>#N/A</v>
      </c>
      <c r="H122" t="e">
        <f t="shared" si="5"/>
        <v>#N/A</v>
      </c>
      <c r="I122" t="e">
        <f t="shared" si="6"/>
        <v>#N/A</v>
      </c>
      <c r="J122" t="e">
        <f t="shared" si="7"/>
        <v>#N/A</v>
      </c>
    </row>
    <row r="123" spans="1:10">
      <c r="A123" t="s">
        <v>323</v>
      </c>
      <c r="B123" t="s">
        <v>324</v>
      </c>
      <c r="C123" t="s">
        <v>44</v>
      </c>
      <c r="D123">
        <v>216623.09976733898</v>
      </c>
      <c r="E123">
        <v>23729.757459669217</v>
      </c>
      <c r="F123" s="22">
        <f t="shared" si="4"/>
        <v>0.10954398439111911</v>
      </c>
      <c r="G123" t="e">
        <f>VLOOKUP(C123,host!F:O,9,0)</f>
        <v>#N/A</v>
      </c>
      <c r="H123" t="e">
        <f t="shared" si="5"/>
        <v>#N/A</v>
      </c>
      <c r="I123" t="e">
        <f t="shared" si="6"/>
        <v>#N/A</v>
      </c>
      <c r="J123" t="e">
        <f t="shared" si="7"/>
        <v>#N/A</v>
      </c>
    </row>
    <row r="124" spans="1:10">
      <c r="A124" t="s">
        <v>325</v>
      </c>
      <c r="B124" t="s">
        <v>326</v>
      </c>
      <c r="C124" t="s">
        <v>49</v>
      </c>
      <c r="D124">
        <v>208718.60504842512</v>
      </c>
      <c r="E124">
        <v>10491.945872454829</v>
      </c>
      <c r="F124" s="22">
        <f t="shared" si="4"/>
        <v>5.0268378662364943E-2</v>
      </c>
      <c r="G124" t="e">
        <f>VLOOKUP(C124,host!F:O,9,0)</f>
        <v>#N/A</v>
      </c>
      <c r="H124" t="e">
        <f t="shared" si="5"/>
        <v>#N/A</v>
      </c>
      <c r="I124" t="e">
        <f t="shared" si="6"/>
        <v>#N/A</v>
      </c>
      <c r="J124" t="e">
        <f t="shared" si="7"/>
        <v>#N/A</v>
      </c>
    </row>
    <row r="125" spans="1:10">
      <c r="A125" t="s">
        <v>327</v>
      </c>
      <c r="B125" t="s">
        <v>328</v>
      </c>
      <c r="C125" t="s">
        <v>50</v>
      </c>
      <c r="D125">
        <v>320758.05936254008</v>
      </c>
      <c r="E125">
        <v>58652.482925408156</v>
      </c>
      <c r="F125" s="22">
        <f t="shared" si="4"/>
        <v>0.18285583546044462</v>
      </c>
      <c r="G125" t="e">
        <f>VLOOKUP(C125,host!F:O,9,0)</f>
        <v>#N/A</v>
      </c>
      <c r="H125" t="e">
        <f t="shared" si="5"/>
        <v>#N/A</v>
      </c>
      <c r="I125" t="e">
        <f t="shared" si="6"/>
        <v>#N/A</v>
      </c>
      <c r="J125" t="e">
        <f t="shared" si="7"/>
        <v>#N/A</v>
      </c>
    </row>
    <row r="126" spans="1:10">
      <c r="A126" t="s">
        <v>329</v>
      </c>
      <c r="B126" t="s">
        <v>330</v>
      </c>
      <c r="C126" t="s">
        <v>39</v>
      </c>
      <c r="D126">
        <v>144485.20258160552</v>
      </c>
      <c r="E126">
        <v>5874.1378218036634</v>
      </c>
      <c r="F126" s="22">
        <f t="shared" si="4"/>
        <v>4.0655636126377293E-2</v>
      </c>
      <c r="G126" t="e">
        <f>VLOOKUP(C126,host!F:O,9,0)</f>
        <v>#N/A</v>
      </c>
      <c r="H126" t="e">
        <f t="shared" si="5"/>
        <v>#N/A</v>
      </c>
      <c r="I126" t="e">
        <f t="shared" si="6"/>
        <v>#N/A</v>
      </c>
      <c r="J126" t="e">
        <f t="shared" si="7"/>
        <v>#N/A</v>
      </c>
    </row>
    <row r="127" spans="1:10">
      <c r="A127" t="s">
        <v>331</v>
      </c>
      <c r="B127" t="s">
        <v>332</v>
      </c>
      <c r="C127" t="s">
        <v>33</v>
      </c>
      <c r="D127">
        <v>1297241.667375939</v>
      </c>
      <c r="E127">
        <v>24248.667075626458</v>
      </c>
      <c r="F127" s="22">
        <f t="shared" si="4"/>
        <v>1.8692482430568758E-2</v>
      </c>
      <c r="G127" t="e">
        <f>VLOOKUP(C127,host!F:O,9,0)</f>
        <v>#N/A</v>
      </c>
      <c r="H127" t="e">
        <f t="shared" si="5"/>
        <v>#N/A</v>
      </c>
      <c r="I127" t="e">
        <f t="shared" si="6"/>
        <v>#N/A</v>
      </c>
      <c r="J127" t="e">
        <f t="shared" si="7"/>
        <v>#N/A</v>
      </c>
    </row>
    <row r="128" spans="1:10">
      <c r="A128" t="s">
        <v>333</v>
      </c>
      <c r="B128" t="s">
        <v>334</v>
      </c>
      <c r="C128" t="s">
        <v>47</v>
      </c>
      <c r="D128">
        <v>226895.90131382181</v>
      </c>
      <c r="E128">
        <v>21739.203632196368</v>
      </c>
      <c r="F128" s="22">
        <f t="shared" si="4"/>
        <v>9.5811354485988154E-2</v>
      </c>
      <c r="G128" t="e">
        <f>VLOOKUP(C128,host!F:O,9,0)</f>
        <v>#N/A</v>
      </c>
      <c r="H128" t="e">
        <f t="shared" si="5"/>
        <v>#N/A</v>
      </c>
      <c r="I128" t="e">
        <f t="shared" si="6"/>
        <v>#N/A</v>
      </c>
      <c r="J128" t="e">
        <f t="shared" si="7"/>
        <v>#N/A</v>
      </c>
    </row>
    <row r="129" spans="1:10">
      <c r="A129" t="s">
        <v>335</v>
      </c>
      <c r="B129" t="s">
        <v>336</v>
      </c>
      <c r="C129" t="s">
        <v>42</v>
      </c>
      <c r="D129">
        <v>567124.34587405447</v>
      </c>
      <c r="E129">
        <v>33432.018673628299</v>
      </c>
      <c r="F129" s="22">
        <f t="shared" si="4"/>
        <v>5.8950067858756318E-2</v>
      </c>
      <c r="G129" t="e">
        <f>VLOOKUP(C129,host!F:O,9,0)</f>
        <v>#N/A</v>
      </c>
      <c r="H129" t="e">
        <f t="shared" si="5"/>
        <v>#N/A</v>
      </c>
      <c r="I129" t="e">
        <f t="shared" si="6"/>
        <v>#N/A</v>
      </c>
      <c r="J129" t="e">
        <f t="shared" si="7"/>
        <v>#N/A</v>
      </c>
    </row>
    <row r="130" spans="1:10">
      <c r="A130" t="s">
        <v>337</v>
      </c>
      <c r="B130" t="s">
        <v>338</v>
      </c>
      <c r="C130" t="s">
        <v>47</v>
      </c>
      <c r="D130">
        <v>226895.90131382181</v>
      </c>
      <c r="E130">
        <v>13279.299868780783</v>
      </c>
      <c r="F130" s="22">
        <f t="shared" si="4"/>
        <v>5.8525957462819307E-2</v>
      </c>
      <c r="G130" t="e">
        <f>VLOOKUP(C130,host!F:O,9,0)</f>
        <v>#N/A</v>
      </c>
      <c r="H130" t="e">
        <f t="shared" si="5"/>
        <v>#N/A</v>
      </c>
      <c r="I130" t="e">
        <f t="shared" si="6"/>
        <v>#N/A</v>
      </c>
      <c r="J130" t="e">
        <f t="shared" si="7"/>
        <v>#N/A</v>
      </c>
    </row>
    <row r="131" spans="1:10">
      <c r="A131" t="s">
        <v>339</v>
      </c>
      <c r="B131" t="s">
        <v>340</v>
      </c>
      <c r="C131" t="s">
        <v>43</v>
      </c>
      <c r="D131">
        <v>249793.06200683941</v>
      </c>
      <c r="E131">
        <v>18269.737005006773</v>
      </c>
      <c r="F131" s="22">
        <f t="shared" ref="F131:F194" si="8">E131/D131</f>
        <v>7.3139489376636654E-2</v>
      </c>
      <c r="G131" t="e">
        <f>VLOOKUP(C131,host!F:O,9,0)</f>
        <v>#N/A</v>
      </c>
      <c r="H131" t="e">
        <f t="shared" ref="H131:H194" si="9">+G131*F131</f>
        <v>#N/A</v>
      </c>
      <c r="I131" t="e">
        <f t="shared" ref="I131:I194" si="10">ROUND(H131,0)</f>
        <v>#N/A</v>
      </c>
      <c r="J131" t="e">
        <f t="shared" ref="J131:J194" si="11">ROUND(I131/4,0)</f>
        <v>#N/A</v>
      </c>
    </row>
    <row r="132" spans="1:10">
      <c r="A132" t="s">
        <v>341</v>
      </c>
      <c r="B132" t="s">
        <v>342</v>
      </c>
      <c r="C132" t="s">
        <v>51</v>
      </c>
      <c r="D132">
        <v>421182.38505409943</v>
      </c>
      <c r="E132">
        <v>41812.354119375261</v>
      </c>
      <c r="F132" s="22">
        <f t="shared" si="8"/>
        <v>9.9273748388135005E-2</v>
      </c>
      <c r="G132" t="e">
        <f>VLOOKUP(C132,host!F:O,9,0)</f>
        <v>#N/A</v>
      </c>
      <c r="H132" t="e">
        <f t="shared" si="9"/>
        <v>#N/A</v>
      </c>
      <c r="I132" t="e">
        <f t="shared" si="10"/>
        <v>#N/A</v>
      </c>
      <c r="J132" t="e">
        <f t="shared" si="11"/>
        <v>#N/A</v>
      </c>
    </row>
    <row r="133" spans="1:10">
      <c r="A133" t="s">
        <v>343</v>
      </c>
      <c r="B133" t="s">
        <v>344</v>
      </c>
      <c r="C133" t="s">
        <v>49</v>
      </c>
      <c r="D133">
        <v>208718.60504842512</v>
      </c>
      <c r="E133">
        <v>112075.50330624878</v>
      </c>
      <c r="F133" s="22">
        <f t="shared" si="8"/>
        <v>0.53696939609310812</v>
      </c>
      <c r="G133" t="e">
        <f>VLOOKUP(C133,host!F:O,9,0)</f>
        <v>#N/A</v>
      </c>
      <c r="H133" t="e">
        <f t="shared" si="9"/>
        <v>#N/A</v>
      </c>
      <c r="I133" t="e">
        <f t="shared" si="10"/>
        <v>#N/A</v>
      </c>
      <c r="J133" t="e">
        <f t="shared" si="11"/>
        <v>#N/A</v>
      </c>
    </row>
    <row r="134" spans="1:10">
      <c r="A134" t="s">
        <v>345</v>
      </c>
      <c r="B134" t="s">
        <v>346</v>
      </c>
      <c r="C134" t="s">
        <v>47</v>
      </c>
      <c r="D134">
        <v>226895.90131382181</v>
      </c>
      <c r="E134">
        <v>77044.828211864791</v>
      </c>
      <c r="F134" s="22">
        <f t="shared" si="8"/>
        <v>0.3395602466406098</v>
      </c>
      <c r="G134" t="e">
        <f>VLOOKUP(C134,host!F:O,9,0)</f>
        <v>#N/A</v>
      </c>
      <c r="H134" t="e">
        <f t="shared" si="9"/>
        <v>#N/A</v>
      </c>
      <c r="I134" t="e">
        <f t="shared" si="10"/>
        <v>#N/A</v>
      </c>
      <c r="J134" t="e">
        <f t="shared" si="11"/>
        <v>#N/A</v>
      </c>
    </row>
    <row r="135" spans="1:10">
      <c r="A135" t="s">
        <v>347</v>
      </c>
      <c r="B135" t="s">
        <v>348</v>
      </c>
      <c r="C135" t="s">
        <v>42</v>
      </c>
      <c r="D135">
        <v>567124.34587405447</v>
      </c>
      <c r="E135">
        <v>19743.329123294487</v>
      </c>
      <c r="F135" s="22">
        <f t="shared" si="8"/>
        <v>3.4813051611928214E-2</v>
      </c>
      <c r="G135" t="e">
        <f>VLOOKUP(C135,host!F:O,9,0)</f>
        <v>#N/A</v>
      </c>
      <c r="H135" t="e">
        <f t="shared" si="9"/>
        <v>#N/A</v>
      </c>
      <c r="I135" t="e">
        <f t="shared" si="10"/>
        <v>#N/A</v>
      </c>
      <c r="J135" t="e">
        <f t="shared" si="11"/>
        <v>#N/A</v>
      </c>
    </row>
    <row r="136" spans="1:10">
      <c r="A136" t="s">
        <v>349</v>
      </c>
      <c r="B136" t="s">
        <v>350</v>
      </c>
      <c r="C136" t="s">
        <v>43</v>
      </c>
      <c r="D136">
        <v>249793.06200683941</v>
      </c>
      <c r="E136">
        <v>13617.967298011339</v>
      </c>
      <c r="F136" s="22">
        <f t="shared" si="8"/>
        <v>5.451699574281401E-2</v>
      </c>
      <c r="G136" t="e">
        <f>VLOOKUP(C136,host!F:O,9,0)</f>
        <v>#N/A</v>
      </c>
      <c r="H136" t="e">
        <f t="shared" si="9"/>
        <v>#N/A</v>
      </c>
      <c r="I136" t="e">
        <f t="shared" si="10"/>
        <v>#N/A</v>
      </c>
      <c r="J136" t="e">
        <f t="shared" si="11"/>
        <v>#N/A</v>
      </c>
    </row>
    <row r="137" spans="1:10">
      <c r="A137" t="s">
        <v>351</v>
      </c>
      <c r="B137" t="s">
        <v>352</v>
      </c>
      <c r="C137" t="s">
        <v>43</v>
      </c>
      <c r="D137">
        <v>249793.06200683941</v>
      </c>
      <c r="E137">
        <v>31237.637648695407</v>
      </c>
      <c r="F137" s="22">
        <f t="shared" si="8"/>
        <v>0.12505406434322869</v>
      </c>
      <c r="G137" t="e">
        <f>VLOOKUP(C137,host!F:O,9,0)</f>
        <v>#N/A</v>
      </c>
      <c r="H137" t="e">
        <f t="shared" si="9"/>
        <v>#N/A</v>
      </c>
      <c r="I137" t="e">
        <f t="shared" si="10"/>
        <v>#N/A</v>
      </c>
      <c r="J137" t="e">
        <f t="shared" si="11"/>
        <v>#N/A</v>
      </c>
    </row>
    <row r="138" spans="1:10">
      <c r="A138" t="s">
        <v>353</v>
      </c>
      <c r="B138" t="s">
        <v>354</v>
      </c>
      <c r="C138" t="s">
        <v>47</v>
      </c>
      <c r="D138">
        <v>226895.90131382181</v>
      </c>
      <c r="E138">
        <v>35763.322263587128</v>
      </c>
      <c r="F138" s="22">
        <f t="shared" si="8"/>
        <v>0.15761995724251779</v>
      </c>
      <c r="G138" t="e">
        <f>VLOOKUP(C138,host!F:O,9,0)</f>
        <v>#N/A</v>
      </c>
      <c r="H138" t="e">
        <f t="shared" si="9"/>
        <v>#N/A</v>
      </c>
      <c r="I138" t="e">
        <f t="shared" si="10"/>
        <v>#N/A</v>
      </c>
      <c r="J138" t="e">
        <f t="shared" si="11"/>
        <v>#N/A</v>
      </c>
    </row>
    <row r="139" spans="1:10">
      <c r="A139" t="s">
        <v>355</v>
      </c>
      <c r="B139" t="s">
        <v>356</v>
      </c>
      <c r="C139" t="s">
        <v>46</v>
      </c>
      <c r="D139">
        <v>300466.72394593147</v>
      </c>
      <c r="E139">
        <v>39434.848280698599</v>
      </c>
      <c r="F139" s="22">
        <f t="shared" si="8"/>
        <v>0.13124530983935126</v>
      </c>
      <c r="G139" t="e">
        <f>VLOOKUP(C139,host!F:O,9,0)</f>
        <v>#N/A</v>
      </c>
      <c r="H139" t="e">
        <f t="shared" si="9"/>
        <v>#N/A</v>
      </c>
      <c r="I139" t="e">
        <f t="shared" si="10"/>
        <v>#N/A</v>
      </c>
      <c r="J139" t="e">
        <f t="shared" si="11"/>
        <v>#N/A</v>
      </c>
    </row>
    <row r="140" spans="1:10">
      <c r="A140" t="s">
        <v>357</v>
      </c>
      <c r="B140" t="s">
        <v>358</v>
      </c>
      <c r="C140" t="s">
        <v>46</v>
      </c>
      <c r="D140">
        <v>300466.72394593147</v>
      </c>
      <c r="E140">
        <v>14251.895408924178</v>
      </c>
      <c r="F140" s="22">
        <f t="shared" si="8"/>
        <v>4.7432525045564729E-2</v>
      </c>
      <c r="G140" t="e">
        <f>VLOOKUP(C140,host!F:O,9,0)</f>
        <v>#N/A</v>
      </c>
      <c r="H140" t="e">
        <f t="shared" si="9"/>
        <v>#N/A</v>
      </c>
      <c r="I140" t="e">
        <f t="shared" si="10"/>
        <v>#N/A</v>
      </c>
      <c r="J140" t="e">
        <f t="shared" si="11"/>
        <v>#N/A</v>
      </c>
    </row>
    <row r="141" spans="1:10">
      <c r="A141" t="s">
        <v>359</v>
      </c>
      <c r="B141" t="s">
        <v>360</v>
      </c>
      <c r="C141" t="s">
        <v>43</v>
      </c>
      <c r="D141">
        <v>249793.06200683941</v>
      </c>
      <c r="E141">
        <v>17801.085299994324</v>
      </c>
      <c r="F141" s="22">
        <f t="shared" si="8"/>
        <v>7.1263329561598976E-2</v>
      </c>
      <c r="G141" t="e">
        <f>VLOOKUP(C141,host!F:O,9,0)</f>
        <v>#N/A</v>
      </c>
      <c r="H141" t="e">
        <f t="shared" si="9"/>
        <v>#N/A</v>
      </c>
      <c r="I141" t="e">
        <f t="shared" si="10"/>
        <v>#N/A</v>
      </c>
      <c r="J141" t="e">
        <f t="shared" si="11"/>
        <v>#N/A</v>
      </c>
    </row>
    <row r="142" spans="1:10">
      <c r="A142" t="s">
        <v>361</v>
      </c>
      <c r="B142" t="s">
        <v>362</v>
      </c>
      <c r="C142" t="s">
        <v>50</v>
      </c>
      <c r="D142">
        <v>320758.05936254008</v>
      </c>
      <c r="E142">
        <v>50151.89105919854</v>
      </c>
      <c r="F142" s="22">
        <f t="shared" si="8"/>
        <v>0.15635426638653482</v>
      </c>
      <c r="G142" t="e">
        <f>VLOOKUP(C142,host!F:O,9,0)</f>
        <v>#N/A</v>
      </c>
      <c r="H142" t="e">
        <f t="shared" si="9"/>
        <v>#N/A</v>
      </c>
      <c r="I142" t="e">
        <f t="shared" si="10"/>
        <v>#N/A</v>
      </c>
      <c r="J142" t="e">
        <f t="shared" si="11"/>
        <v>#N/A</v>
      </c>
    </row>
    <row r="143" spans="1:10">
      <c r="A143" t="s">
        <v>363</v>
      </c>
      <c r="B143" t="s">
        <v>364</v>
      </c>
      <c r="C143" t="s">
        <v>51</v>
      </c>
      <c r="D143">
        <v>421182.38505409943</v>
      </c>
      <c r="E143">
        <v>21043.040010505938</v>
      </c>
      <c r="F143" s="22">
        <f t="shared" si="8"/>
        <v>4.996182356439962E-2</v>
      </c>
      <c r="G143" t="e">
        <f>VLOOKUP(C143,host!F:O,9,0)</f>
        <v>#N/A</v>
      </c>
      <c r="H143" t="e">
        <f t="shared" si="9"/>
        <v>#N/A</v>
      </c>
      <c r="I143" t="e">
        <f t="shared" si="10"/>
        <v>#N/A</v>
      </c>
      <c r="J143" t="e">
        <f t="shared" si="11"/>
        <v>#N/A</v>
      </c>
    </row>
    <row r="144" spans="1:10">
      <c r="A144" t="s">
        <v>365</v>
      </c>
      <c r="B144" t="s">
        <v>366</v>
      </c>
      <c r="C144" t="s">
        <v>49</v>
      </c>
      <c r="D144">
        <v>208718.60504842512</v>
      </c>
      <c r="E144">
        <v>61148.113349099214</v>
      </c>
      <c r="F144" s="22">
        <f t="shared" si="8"/>
        <v>0.292969154977402</v>
      </c>
      <c r="G144" t="e">
        <f>VLOOKUP(C144,host!F:O,9,0)</f>
        <v>#N/A</v>
      </c>
      <c r="H144" t="e">
        <f t="shared" si="9"/>
        <v>#N/A</v>
      </c>
      <c r="I144" t="e">
        <f t="shared" si="10"/>
        <v>#N/A</v>
      </c>
      <c r="J144" t="e">
        <f t="shared" si="11"/>
        <v>#N/A</v>
      </c>
    </row>
    <row r="145" spans="1:10">
      <c r="A145" t="s">
        <v>367</v>
      </c>
      <c r="B145" t="s">
        <v>368</v>
      </c>
      <c r="C145" t="s">
        <v>47</v>
      </c>
      <c r="D145">
        <v>226895.90131382181</v>
      </c>
      <c r="E145">
        <v>28150.950343262441</v>
      </c>
      <c r="F145" s="22">
        <f t="shared" si="8"/>
        <v>0.12406989363957968</v>
      </c>
      <c r="G145" t="e">
        <f>VLOOKUP(C145,host!F:O,9,0)</f>
        <v>#N/A</v>
      </c>
      <c r="H145" t="e">
        <f t="shared" si="9"/>
        <v>#N/A</v>
      </c>
      <c r="I145" t="e">
        <f t="shared" si="10"/>
        <v>#N/A</v>
      </c>
      <c r="J145" t="e">
        <f t="shared" si="11"/>
        <v>#N/A</v>
      </c>
    </row>
    <row r="146" spans="1:10">
      <c r="A146" t="s">
        <v>369</v>
      </c>
      <c r="B146" t="s">
        <v>370</v>
      </c>
      <c r="C146" t="s">
        <v>48</v>
      </c>
      <c r="D146">
        <v>146942.20946624695</v>
      </c>
      <c r="E146">
        <v>51791.884859120917</v>
      </c>
      <c r="F146" s="22">
        <f t="shared" si="8"/>
        <v>0.35246431265223127</v>
      </c>
      <c r="G146" t="e">
        <f>VLOOKUP(C146,host!F:O,9,0)</f>
        <v>#N/A</v>
      </c>
      <c r="H146" t="e">
        <f t="shared" si="9"/>
        <v>#N/A</v>
      </c>
      <c r="I146" t="e">
        <f t="shared" si="10"/>
        <v>#N/A</v>
      </c>
      <c r="J146" t="e">
        <f t="shared" si="11"/>
        <v>#N/A</v>
      </c>
    </row>
    <row r="147" spans="1:10">
      <c r="A147" t="s">
        <v>371</v>
      </c>
      <c r="B147" t="s">
        <v>372</v>
      </c>
      <c r="C147" t="s">
        <v>52</v>
      </c>
      <c r="D147">
        <v>350483.36395522399</v>
      </c>
      <c r="E147">
        <v>87633.9040776615</v>
      </c>
      <c r="F147" s="22">
        <f t="shared" si="8"/>
        <v>0.25003727163739836</v>
      </c>
      <c r="G147" t="e">
        <f>VLOOKUP(C147,host!F:O,9,0)</f>
        <v>#N/A</v>
      </c>
      <c r="H147" t="e">
        <f t="shared" si="9"/>
        <v>#N/A</v>
      </c>
      <c r="I147" t="e">
        <f t="shared" si="10"/>
        <v>#N/A</v>
      </c>
      <c r="J147" t="e">
        <f t="shared" si="11"/>
        <v>#N/A</v>
      </c>
    </row>
    <row r="148" spans="1:10">
      <c r="A148" t="s">
        <v>373</v>
      </c>
      <c r="B148" t="s">
        <v>374</v>
      </c>
      <c r="C148" t="s">
        <v>53</v>
      </c>
      <c r="D148">
        <v>551758.43204467779</v>
      </c>
      <c r="E148">
        <v>55831.045838490718</v>
      </c>
      <c r="F148" s="22">
        <f t="shared" si="8"/>
        <v>0.10118748096262874</v>
      </c>
      <c r="G148" t="e">
        <f>VLOOKUP(C148,host!F:O,9,0)</f>
        <v>#N/A</v>
      </c>
      <c r="H148" t="e">
        <f t="shared" si="9"/>
        <v>#N/A</v>
      </c>
      <c r="I148" t="e">
        <f t="shared" si="10"/>
        <v>#N/A</v>
      </c>
      <c r="J148" t="e">
        <f t="shared" si="11"/>
        <v>#N/A</v>
      </c>
    </row>
    <row r="149" spans="1:10">
      <c r="A149" t="s">
        <v>375</v>
      </c>
      <c r="B149" t="s">
        <v>376</v>
      </c>
      <c r="C149" t="s">
        <v>47</v>
      </c>
      <c r="D149">
        <v>226895.90131382181</v>
      </c>
      <c r="E149">
        <v>22309.670798545729</v>
      </c>
      <c r="F149" s="22">
        <f t="shared" si="8"/>
        <v>9.832557868768646E-2</v>
      </c>
      <c r="G149" t="e">
        <f>VLOOKUP(C149,host!F:O,9,0)</f>
        <v>#N/A</v>
      </c>
      <c r="H149" t="e">
        <f t="shared" si="9"/>
        <v>#N/A</v>
      </c>
      <c r="I149" t="e">
        <f t="shared" si="10"/>
        <v>#N/A</v>
      </c>
      <c r="J149" t="e">
        <f t="shared" si="11"/>
        <v>#N/A</v>
      </c>
    </row>
    <row r="150" spans="1:10">
      <c r="A150" t="s">
        <v>377</v>
      </c>
      <c r="B150" t="s">
        <v>378</v>
      </c>
      <c r="C150" t="s">
        <v>51</v>
      </c>
      <c r="D150">
        <v>421182.38505409943</v>
      </c>
      <c r="E150">
        <v>32942.437194044469</v>
      </c>
      <c r="F150" s="22">
        <f t="shared" si="8"/>
        <v>7.8214185500215361E-2</v>
      </c>
      <c r="G150" t="e">
        <f>VLOOKUP(C150,host!F:O,9,0)</f>
        <v>#N/A</v>
      </c>
      <c r="H150" t="e">
        <f t="shared" si="9"/>
        <v>#N/A</v>
      </c>
      <c r="I150" t="e">
        <f t="shared" si="10"/>
        <v>#N/A</v>
      </c>
      <c r="J150" t="e">
        <f t="shared" si="11"/>
        <v>#N/A</v>
      </c>
    </row>
    <row r="151" spans="1:10">
      <c r="A151" t="s">
        <v>379</v>
      </c>
      <c r="B151" t="s">
        <v>380</v>
      </c>
      <c r="C151" t="s">
        <v>50</v>
      </c>
      <c r="D151">
        <v>320758.05936254008</v>
      </c>
      <c r="E151">
        <v>34223.317102098947</v>
      </c>
      <c r="F151" s="22">
        <f t="shared" si="8"/>
        <v>0.10669511210447152</v>
      </c>
      <c r="G151" t="e">
        <f>VLOOKUP(C151,host!F:O,9,0)</f>
        <v>#N/A</v>
      </c>
      <c r="H151" t="e">
        <f t="shared" si="9"/>
        <v>#N/A</v>
      </c>
      <c r="I151" t="e">
        <f t="shared" si="10"/>
        <v>#N/A</v>
      </c>
      <c r="J151" t="e">
        <f t="shared" si="11"/>
        <v>#N/A</v>
      </c>
    </row>
    <row r="152" spans="1:10">
      <c r="A152" t="s">
        <v>381</v>
      </c>
      <c r="B152" t="s">
        <v>382</v>
      </c>
      <c r="C152" t="s">
        <v>51</v>
      </c>
      <c r="D152">
        <v>421182.38505409943</v>
      </c>
      <c r="E152">
        <v>19676.539682004724</v>
      </c>
      <c r="F152" s="22">
        <f t="shared" si="8"/>
        <v>4.6717385104976174E-2</v>
      </c>
      <c r="G152" t="e">
        <f>VLOOKUP(C152,host!F:O,9,0)</f>
        <v>#N/A</v>
      </c>
      <c r="H152" t="e">
        <f t="shared" si="9"/>
        <v>#N/A</v>
      </c>
      <c r="I152" t="e">
        <f t="shared" si="10"/>
        <v>#N/A</v>
      </c>
      <c r="J152" t="e">
        <f t="shared" si="11"/>
        <v>#N/A</v>
      </c>
    </row>
    <row r="153" spans="1:10">
      <c r="A153" t="s">
        <v>383</v>
      </c>
      <c r="B153" t="s">
        <v>384</v>
      </c>
      <c r="C153" t="s">
        <v>50</v>
      </c>
      <c r="D153">
        <v>320758.05936254008</v>
      </c>
      <c r="E153">
        <v>19595.194904381478</v>
      </c>
      <c r="F153" s="22">
        <f t="shared" si="8"/>
        <v>6.1090265177823039E-2</v>
      </c>
      <c r="G153" t="e">
        <f>VLOOKUP(C153,host!F:O,9,0)</f>
        <v>#N/A</v>
      </c>
      <c r="H153" t="e">
        <f t="shared" si="9"/>
        <v>#N/A</v>
      </c>
      <c r="I153" t="e">
        <f t="shared" si="10"/>
        <v>#N/A</v>
      </c>
      <c r="J153" t="e">
        <f t="shared" si="11"/>
        <v>#N/A</v>
      </c>
    </row>
    <row r="154" spans="1:10">
      <c r="A154" t="s">
        <v>385</v>
      </c>
      <c r="B154" t="s">
        <v>386</v>
      </c>
      <c r="C154" t="s">
        <v>53</v>
      </c>
      <c r="D154">
        <v>551758.43204467779</v>
      </c>
      <c r="E154">
        <v>13098.329697558083</v>
      </c>
      <c r="F154" s="22">
        <f t="shared" si="8"/>
        <v>2.3739246990787204E-2</v>
      </c>
      <c r="G154" t="e">
        <f>VLOOKUP(C154,host!F:O,9,0)</f>
        <v>#N/A</v>
      </c>
      <c r="H154" t="e">
        <f t="shared" si="9"/>
        <v>#N/A</v>
      </c>
      <c r="I154" t="e">
        <f t="shared" si="10"/>
        <v>#N/A</v>
      </c>
      <c r="J154" t="e">
        <f t="shared" si="11"/>
        <v>#N/A</v>
      </c>
    </row>
    <row r="155" spans="1:10">
      <c r="A155" t="s">
        <v>387</v>
      </c>
      <c r="B155" t="s">
        <v>388</v>
      </c>
      <c r="C155" t="s">
        <v>50</v>
      </c>
      <c r="D155">
        <v>320758.05936254008</v>
      </c>
      <c r="E155">
        <v>39893.83295214345</v>
      </c>
      <c r="F155" s="22">
        <f t="shared" si="8"/>
        <v>0.12437359495012107</v>
      </c>
      <c r="G155" t="e">
        <f>VLOOKUP(C155,host!F:O,9,0)</f>
        <v>#N/A</v>
      </c>
      <c r="H155" t="e">
        <f t="shared" si="9"/>
        <v>#N/A</v>
      </c>
      <c r="I155" t="e">
        <f t="shared" si="10"/>
        <v>#N/A</v>
      </c>
      <c r="J155" t="e">
        <f t="shared" si="11"/>
        <v>#N/A</v>
      </c>
    </row>
    <row r="156" spans="1:10">
      <c r="A156" t="s">
        <v>389</v>
      </c>
      <c r="B156" t="s">
        <v>390</v>
      </c>
      <c r="C156" t="s">
        <v>51</v>
      </c>
      <c r="D156">
        <v>421182.38505409943</v>
      </c>
      <c r="E156">
        <v>79404.667928018171</v>
      </c>
      <c r="F156" s="22">
        <f t="shared" si="8"/>
        <v>0.18852798869501372</v>
      </c>
      <c r="G156" t="e">
        <f>VLOOKUP(C156,host!F:O,9,0)</f>
        <v>#N/A</v>
      </c>
      <c r="H156" t="e">
        <f t="shared" si="9"/>
        <v>#N/A</v>
      </c>
      <c r="I156" t="e">
        <f t="shared" si="10"/>
        <v>#N/A</v>
      </c>
      <c r="J156" t="e">
        <f t="shared" si="11"/>
        <v>#N/A</v>
      </c>
    </row>
    <row r="157" spans="1:10">
      <c r="A157" t="s">
        <v>391</v>
      </c>
      <c r="B157" t="s">
        <v>392</v>
      </c>
      <c r="C157" t="s">
        <v>53</v>
      </c>
      <c r="D157">
        <v>551758.43204467779</v>
      </c>
      <c r="E157">
        <v>36754.141502276572</v>
      </c>
      <c r="F157" s="22">
        <f t="shared" si="8"/>
        <v>6.6612740952729954E-2</v>
      </c>
      <c r="G157" t="e">
        <f>VLOOKUP(C157,host!F:O,9,0)</f>
        <v>#N/A</v>
      </c>
      <c r="H157" t="e">
        <f t="shared" si="9"/>
        <v>#N/A</v>
      </c>
      <c r="I157" t="e">
        <f t="shared" si="10"/>
        <v>#N/A</v>
      </c>
      <c r="J157" t="e">
        <f t="shared" si="11"/>
        <v>#N/A</v>
      </c>
    </row>
    <row r="158" spans="1:10">
      <c r="A158" t="s">
        <v>393</v>
      </c>
      <c r="B158" t="s">
        <v>394</v>
      </c>
      <c r="C158" t="s">
        <v>54</v>
      </c>
      <c r="D158">
        <v>24365.362980845901</v>
      </c>
      <c r="E158">
        <v>24365.362980845901</v>
      </c>
      <c r="F158" s="22">
        <f t="shared" si="8"/>
        <v>1</v>
      </c>
      <c r="G158" t="e">
        <f>VLOOKUP(C158,host!F:O,9,0)</f>
        <v>#N/A</v>
      </c>
      <c r="H158" t="e">
        <f t="shared" si="9"/>
        <v>#N/A</v>
      </c>
      <c r="I158" t="e">
        <f t="shared" si="10"/>
        <v>#N/A</v>
      </c>
      <c r="J158" t="e">
        <f t="shared" si="11"/>
        <v>#N/A</v>
      </c>
    </row>
    <row r="159" spans="1:10">
      <c r="A159" t="s">
        <v>395</v>
      </c>
      <c r="B159" t="s">
        <v>396</v>
      </c>
      <c r="C159" t="s">
        <v>55</v>
      </c>
      <c r="D159">
        <v>3864910.6584728658</v>
      </c>
      <c r="E159">
        <v>133040.10250927586</v>
      </c>
      <c r="F159" s="22">
        <f t="shared" si="8"/>
        <v>3.442255572392551E-2</v>
      </c>
      <c r="G159" t="e">
        <f>VLOOKUP(C159,host!F:O,9,0)</f>
        <v>#N/A</v>
      </c>
      <c r="H159" t="e">
        <f t="shared" si="9"/>
        <v>#N/A</v>
      </c>
      <c r="I159" t="e">
        <f t="shared" si="10"/>
        <v>#N/A</v>
      </c>
      <c r="J159" t="e">
        <f t="shared" si="11"/>
        <v>#N/A</v>
      </c>
    </row>
    <row r="160" spans="1:10">
      <c r="A160" t="s">
        <v>397</v>
      </c>
      <c r="B160" t="s">
        <v>398</v>
      </c>
      <c r="C160" t="s">
        <v>52</v>
      </c>
      <c r="D160">
        <v>350483.36395522399</v>
      </c>
      <c r="E160">
        <v>76305.415618777741</v>
      </c>
      <c r="F160" s="22">
        <f t="shared" si="8"/>
        <v>0.21771480037644853</v>
      </c>
      <c r="G160" t="e">
        <f>VLOOKUP(C160,host!F:O,9,0)</f>
        <v>#N/A</v>
      </c>
      <c r="H160" t="e">
        <f t="shared" si="9"/>
        <v>#N/A</v>
      </c>
      <c r="I160" t="e">
        <f t="shared" si="10"/>
        <v>#N/A</v>
      </c>
      <c r="J160" t="e">
        <f t="shared" si="11"/>
        <v>#N/A</v>
      </c>
    </row>
    <row r="161" spans="1:10">
      <c r="A161" t="s">
        <v>399</v>
      </c>
      <c r="B161" t="s">
        <v>400</v>
      </c>
      <c r="C161" t="s">
        <v>52</v>
      </c>
      <c r="D161">
        <v>350483.36395522399</v>
      </c>
      <c r="E161">
        <v>17857.698442360754</v>
      </c>
      <c r="F161" s="22">
        <f t="shared" si="8"/>
        <v>5.0951629317967186E-2</v>
      </c>
      <c r="G161" t="e">
        <f>VLOOKUP(C161,host!F:O,9,0)</f>
        <v>#N/A</v>
      </c>
      <c r="H161" t="e">
        <f t="shared" si="9"/>
        <v>#N/A</v>
      </c>
      <c r="I161" t="e">
        <f t="shared" si="10"/>
        <v>#N/A</v>
      </c>
      <c r="J161" t="e">
        <f t="shared" si="11"/>
        <v>#N/A</v>
      </c>
    </row>
    <row r="162" spans="1:10">
      <c r="A162" t="s">
        <v>401</v>
      </c>
      <c r="B162" t="s">
        <v>402</v>
      </c>
      <c r="C162" t="s">
        <v>46</v>
      </c>
      <c r="D162">
        <v>300466.72394593147</v>
      </c>
      <c r="E162">
        <v>44456.077323119898</v>
      </c>
      <c r="F162" s="22">
        <f t="shared" si="8"/>
        <v>0.14795674123008609</v>
      </c>
      <c r="G162" t="e">
        <f>VLOOKUP(C162,host!F:O,9,0)</f>
        <v>#N/A</v>
      </c>
      <c r="H162" t="e">
        <f t="shared" si="9"/>
        <v>#N/A</v>
      </c>
      <c r="I162" t="e">
        <f t="shared" si="10"/>
        <v>#N/A</v>
      </c>
      <c r="J162" t="e">
        <f t="shared" si="11"/>
        <v>#N/A</v>
      </c>
    </row>
    <row r="163" spans="1:10">
      <c r="A163" t="s">
        <v>403</v>
      </c>
      <c r="B163" t="s">
        <v>404</v>
      </c>
      <c r="C163" t="s">
        <v>49</v>
      </c>
      <c r="D163">
        <v>208718.60504842512</v>
      </c>
      <c r="E163">
        <v>14667.568564028423</v>
      </c>
      <c r="F163" s="22">
        <f t="shared" si="8"/>
        <v>7.0274370416692739E-2</v>
      </c>
      <c r="G163" t="e">
        <f>VLOOKUP(C163,host!F:O,9,0)</f>
        <v>#N/A</v>
      </c>
      <c r="H163" t="e">
        <f t="shared" si="9"/>
        <v>#N/A</v>
      </c>
      <c r="I163" t="e">
        <f t="shared" si="10"/>
        <v>#N/A</v>
      </c>
      <c r="J163" t="e">
        <f t="shared" si="11"/>
        <v>#N/A</v>
      </c>
    </row>
    <row r="164" spans="1:10">
      <c r="A164" t="s">
        <v>405</v>
      </c>
      <c r="B164" t="s">
        <v>406</v>
      </c>
      <c r="C164" t="s">
        <v>55</v>
      </c>
      <c r="D164">
        <v>3864910.6584728658</v>
      </c>
      <c r="E164">
        <v>19629.898539051472</v>
      </c>
      <c r="F164" s="22">
        <f t="shared" si="8"/>
        <v>5.0790044773784742E-3</v>
      </c>
      <c r="G164" t="e">
        <f>VLOOKUP(C164,host!F:O,9,0)</f>
        <v>#N/A</v>
      </c>
      <c r="H164" t="e">
        <f t="shared" si="9"/>
        <v>#N/A</v>
      </c>
      <c r="I164" t="e">
        <f t="shared" si="10"/>
        <v>#N/A</v>
      </c>
      <c r="J164" t="e">
        <f t="shared" si="11"/>
        <v>#N/A</v>
      </c>
    </row>
    <row r="165" spans="1:10">
      <c r="A165" t="s">
        <v>407</v>
      </c>
      <c r="B165" t="s">
        <v>408</v>
      </c>
      <c r="C165" t="s">
        <v>53</v>
      </c>
      <c r="D165">
        <v>551758.43204467779</v>
      </c>
      <c r="E165">
        <v>21787.733339702463</v>
      </c>
      <c r="F165" s="22">
        <f t="shared" si="8"/>
        <v>3.9487812191582844E-2</v>
      </c>
      <c r="G165" t="e">
        <f>VLOOKUP(C165,host!F:O,9,0)</f>
        <v>#N/A</v>
      </c>
      <c r="H165" t="e">
        <f t="shared" si="9"/>
        <v>#N/A</v>
      </c>
      <c r="I165" t="e">
        <f t="shared" si="10"/>
        <v>#N/A</v>
      </c>
      <c r="J165" t="e">
        <f t="shared" si="11"/>
        <v>#N/A</v>
      </c>
    </row>
    <row r="166" spans="1:10">
      <c r="A166" t="s">
        <v>409</v>
      </c>
      <c r="B166" t="s">
        <v>410</v>
      </c>
      <c r="C166" t="s">
        <v>55</v>
      </c>
      <c r="D166">
        <v>3864910.6584728658</v>
      </c>
      <c r="E166">
        <v>43139.510563581345</v>
      </c>
      <c r="F166" s="22">
        <f t="shared" si="8"/>
        <v>1.1161839011468113E-2</v>
      </c>
      <c r="G166" t="e">
        <f>VLOOKUP(C166,host!F:O,9,0)</f>
        <v>#N/A</v>
      </c>
      <c r="H166" t="e">
        <f t="shared" si="9"/>
        <v>#N/A</v>
      </c>
      <c r="I166" t="e">
        <f t="shared" si="10"/>
        <v>#N/A</v>
      </c>
      <c r="J166" t="e">
        <f t="shared" si="11"/>
        <v>#N/A</v>
      </c>
    </row>
    <row r="167" spans="1:10">
      <c r="A167" t="s">
        <v>411</v>
      </c>
      <c r="B167" t="s">
        <v>412</v>
      </c>
      <c r="C167" t="s">
        <v>53</v>
      </c>
      <c r="D167">
        <v>551758.43204467779</v>
      </c>
      <c r="E167">
        <v>33478.866805515558</v>
      </c>
      <c r="F167" s="22">
        <f t="shared" si="8"/>
        <v>6.0676674539347428E-2</v>
      </c>
      <c r="G167" t="e">
        <f>VLOOKUP(C167,host!F:O,9,0)</f>
        <v>#N/A</v>
      </c>
      <c r="H167" t="e">
        <f t="shared" si="9"/>
        <v>#N/A</v>
      </c>
      <c r="I167" t="e">
        <f t="shared" si="10"/>
        <v>#N/A</v>
      </c>
      <c r="J167" t="e">
        <f t="shared" si="11"/>
        <v>#N/A</v>
      </c>
    </row>
    <row r="168" spans="1:10">
      <c r="A168" t="s">
        <v>413</v>
      </c>
      <c r="B168" t="s">
        <v>414</v>
      </c>
      <c r="C168" t="s">
        <v>51</v>
      </c>
      <c r="D168">
        <v>421182.38505409943</v>
      </c>
      <c r="E168">
        <v>19484.128069641702</v>
      </c>
      <c r="F168" s="22">
        <f t="shared" si="8"/>
        <v>4.6260548306499172E-2</v>
      </c>
      <c r="G168" t="e">
        <f>VLOOKUP(C168,host!F:O,9,0)</f>
        <v>#N/A</v>
      </c>
      <c r="H168" t="e">
        <f t="shared" si="9"/>
        <v>#N/A</v>
      </c>
      <c r="I168" t="e">
        <f t="shared" si="10"/>
        <v>#N/A</v>
      </c>
      <c r="J168" t="e">
        <f t="shared" si="11"/>
        <v>#N/A</v>
      </c>
    </row>
    <row r="169" spans="1:10">
      <c r="A169" t="s">
        <v>415</v>
      </c>
      <c r="B169" t="s">
        <v>416</v>
      </c>
      <c r="C169" t="s">
        <v>49</v>
      </c>
      <c r="D169">
        <v>208718.60504842512</v>
      </c>
      <c r="E169">
        <v>10335.473956592983</v>
      </c>
      <c r="F169" s="22">
        <f t="shared" si="8"/>
        <v>4.951869985042797E-2</v>
      </c>
      <c r="G169" t="e">
        <f>VLOOKUP(C169,host!F:O,9,0)</f>
        <v>#N/A</v>
      </c>
      <c r="H169" t="e">
        <f t="shared" si="9"/>
        <v>#N/A</v>
      </c>
      <c r="I169" t="e">
        <f t="shared" si="10"/>
        <v>#N/A</v>
      </c>
      <c r="J169" t="e">
        <f t="shared" si="11"/>
        <v>#N/A</v>
      </c>
    </row>
    <row r="170" spans="1:10">
      <c r="A170" t="s">
        <v>417</v>
      </c>
      <c r="B170" t="s">
        <v>418</v>
      </c>
      <c r="C170" t="s">
        <v>53</v>
      </c>
      <c r="D170">
        <v>551758.43204467779</v>
      </c>
      <c r="E170">
        <v>168906.36483991976</v>
      </c>
      <c r="F170" s="22">
        <f t="shared" si="8"/>
        <v>0.30612375820700249</v>
      </c>
      <c r="G170" t="e">
        <f>VLOOKUP(C170,host!F:O,9,0)</f>
        <v>#N/A</v>
      </c>
      <c r="H170" t="e">
        <f t="shared" si="9"/>
        <v>#N/A</v>
      </c>
      <c r="I170" t="e">
        <f t="shared" si="10"/>
        <v>#N/A</v>
      </c>
      <c r="J170" t="e">
        <f t="shared" si="11"/>
        <v>#N/A</v>
      </c>
    </row>
    <row r="171" spans="1:10">
      <c r="A171" t="s">
        <v>419</v>
      </c>
      <c r="B171" t="s">
        <v>420</v>
      </c>
      <c r="C171" t="s">
        <v>52</v>
      </c>
      <c r="D171">
        <v>350483.36395522399</v>
      </c>
      <c r="E171">
        <v>63656.48331106086</v>
      </c>
      <c r="F171" s="22">
        <f t="shared" si="8"/>
        <v>0.18162483546349806</v>
      </c>
      <c r="G171" t="e">
        <f>VLOOKUP(C171,host!F:O,9,0)</f>
        <v>#N/A</v>
      </c>
      <c r="H171" t="e">
        <f t="shared" si="9"/>
        <v>#N/A</v>
      </c>
      <c r="I171" t="e">
        <f t="shared" si="10"/>
        <v>#N/A</v>
      </c>
      <c r="J171" t="e">
        <f t="shared" si="11"/>
        <v>#N/A</v>
      </c>
    </row>
    <row r="172" spans="1:10">
      <c r="A172" t="s">
        <v>421</v>
      </c>
      <c r="B172" t="s">
        <v>422</v>
      </c>
      <c r="C172" t="s">
        <v>51</v>
      </c>
      <c r="D172">
        <v>421182.38505409943</v>
      </c>
      <c r="E172">
        <v>116877.70533169039</v>
      </c>
      <c r="F172" s="22">
        <f t="shared" si="8"/>
        <v>0.27749903481048444</v>
      </c>
      <c r="G172" t="e">
        <f>VLOOKUP(C172,host!F:O,9,0)</f>
        <v>#N/A</v>
      </c>
      <c r="H172" t="e">
        <f t="shared" si="9"/>
        <v>#N/A</v>
      </c>
      <c r="I172" t="e">
        <f t="shared" si="10"/>
        <v>#N/A</v>
      </c>
      <c r="J172" t="e">
        <f t="shared" si="11"/>
        <v>#N/A</v>
      </c>
    </row>
    <row r="173" spans="1:10">
      <c r="A173" t="s">
        <v>423</v>
      </c>
      <c r="B173" t="s">
        <v>424</v>
      </c>
      <c r="C173" t="s">
        <v>46</v>
      </c>
      <c r="D173">
        <v>300466.72394593147</v>
      </c>
      <c r="E173">
        <v>68101.767890360061</v>
      </c>
      <c r="F173" s="22">
        <f t="shared" si="8"/>
        <v>0.22665327792709208</v>
      </c>
      <c r="G173" t="e">
        <f>VLOOKUP(C173,host!F:O,9,0)</f>
        <v>#N/A</v>
      </c>
      <c r="H173" t="e">
        <f t="shared" si="9"/>
        <v>#N/A</v>
      </c>
      <c r="I173" t="e">
        <f t="shared" si="10"/>
        <v>#N/A</v>
      </c>
      <c r="J173" t="e">
        <f t="shared" si="11"/>
        <v>#N/A</v>
      </c>
    </row>
    <row r="174" spans="1:10">
      <c r="A174" t="s">
        <v>425</v>
      </c>
      <c r="B174" t="s">
        <v>426</v>
      </c>
      <c r="C174" t="s">
        <v>55</v>
      </c>
      <c r="D174">
        <v>3864910.6584728658</v>
      </c>
      <c r="E174">
        <v>64569.80582054361</v>
      </c>
      <c r="F174" s="22">
        <f t="shared" si="8"/>
        <v>1.6706674882377991E-2</v>
      </c>
      <c r="G174" t="e">
        <f>VLOOKUP(C174,host!F:O,9,0)</f>
        <v>#N/A</v>
      </c>
      <c r="H174" t="e">
        <f t="shared" si="9"/>
        <v>#N/A</v>
      </c>
      <c r="I174" t="e">
        <f t="shared" si="10"/>
        <v>#N/A</v>
      </c>
      <c r="J174" t="e">
        <f t="shared" si="11"/>
        <v>#N/A</v>
      </c>
    </row>
    <row r="175" spans="1:10">
      <c r="A175" t="s">
        <v>427</v>
      </c>
      <c r="B175" t="s">
        <v>428</v>
      </c>
      <c r="C175" t="s">
        <v>51</v>
      </c>
      <c r="D175">
        <v>421182.38505409943</v>
      </c>
      <c r="E175">
        <v>37179.361292239999</v>
      </c>
      <c r="F175" s="22">
        <f t="shared" si="8"/>
        <v>8.8273780223416601E-2</v>
      </c>
      <c r="G175" t="e">
        <f>VLOOKUP(C175,host!F:O,9,0)</f>
        <v>#N/A</v>
      </c>
      <c r="H175" t="e">
        <f t="shared" si="9"/>
        <v>#N/A</v>
      </c>
      <c r="I175" t="e">
        <f t="shared" si="10"/>
        <v>#N/A</v>
      </c>
      <c r="J175" t="e">
        <f t="shared" si="11"/>
        <v>#N/A</v>
      </c>
    </row>
    <row r="176" spans="1:10">
      <c r="A176" t="s">
        <v>429</v>
      </c>
      <c r="B176" t="s">
        <v>430</v>
      </c>
      <c r="C176" t="s">
        <v>51</v>
      </c>
      <c r="D176">
        <v>421182.38505409943</v>
      </c>
      <c r="E176">
        <v>52762.15142657925</v>
      </c>
      <c r="F176" s="22">
        <f t="shared" si="8"/>
        <v>0.12527150540686105</v>
      </c>
      <c r="G176" t="e">
        <f>VLOOKUP(C176,host!F:O,9,0)</f>
        <v>#N/A</v>
      </c>
      <c r="H176" t="e">
        <f t="shared" si="9"/>
        <v>#N/A</v>
      </c>
      <c r="I176" t="e">
        <f t="shared" si="10"/>
        <v>#N/A</v>
      </c>
      <c r="J176" t="e">
        <f t="shared" si="11"/>
        <v>#N/A</v>
      </c>
    </row>
    <row r="177" spans="1:10">
      <c r="A177" t="s">
        <v>431</v>
      </c>
      <c r="B177" t="s">
        <v>432</v>
      </c>
      <c r="C177" t="s">
        <v>53</v>
      </c>
      <c r="D177">
        <v>551758.43204467779</v>
      </c>
      <c r="E177">
        <v>28407.392089765883</v>
      </c>
      <c r="F177" s="22">
        <f t="shared" si="8"/>
        <v>5.1485197941597817E-2</v>
      </c>
      <c r="G177" t="e">
        <f>VLOOKUP(C177,host!F:O,9,0)</f>
        <v>#N/A</v>
      </c>
      <c r="H177" t="e">
        <f t="shared" si="9"/>
        <v>#N/A</v>
      </c>
      <c r="I177" t="e">
        <f t="shared" si="10"/>
        <v>#N/A</v>
      </c>
      <c r="J177" t="e">
        <f t="shared" si="11"/>
        <v>#N/A</v>
      </c>
    </row>
    <row r="178" spans="1:10">
      <c r="A178" t="s">
        <v>433</v>
      </c>
      <c r="B178" t="s">
        <v>434</v>
      </c>
      <c r="C178" t="s">
        <v>53</v>
      </c>
      <c r="D178">
        <v>551758.43204467779</v>
      </c>
      <c r="E178">
        <v>15408.385609179331</v>
      </c>
      <c r="F178" s="22">
        <f t="shared" si="8"/>
        <v>2.7925963092362241E-2</v>
      </c>
      <c r="G178" t="e">
        <f>VLOOKUP(C178,host!F:O,9,0)</f>
        <v>#N/A</v>
      </c>
      <c r="H178" t="e">
        <f t="shared" si="9"/>
        <v>#N/A</v>
      </c>
      <c r="I178" t="e">
        <f t="shared" si="10"/>
        <v>#N/A</v>
      </c>
      <c r="J178" t="e">
        <f t="shared" si="11"/>
        <v>#N/A</v>
      </c>
    </row>
    <row r="179" spans="1:10">
      <c r="A179" t="s">
        <v>435</v>
      </c>
      <c r="B179" t="s">
        <v>436</v>
      </c>
      <c r="C179" t="s">
        <v>50</v>
      </c>
      <c r="D179">
        <v>320758.05936254008</v>
      </c>
      <c r="E179">
        <v>104970.83640309099</v>
      </c>
      <c r="F179" s="22">
        <f t="shared" si="8"/>
        <v>0.32725860921999977</v>
      </c>
      <c r="G179" t="e">
        <f>VLOOKUP(C179,host!F:O,9,0)</f>
        <v>#N/A</v>
      </c>
      <c r="H179" t="e">
        <f t="shared" si="9"/>
        <v>#N/A</v>
      </c>
      <c r="I179" t="e">
        <f t="shared" si="10"/>
        <v>#N/A</v>
      </c>
      <c r="J179" t="e">
        <f t="shared" si="11"/>
        <v>#N/A</v>
      </c>
    </row>
    <row r="180" spans="1:10">
      <c r="A180" t="s">
        <v>437</v>
      </c>
      <c r="B180" t="s">
        <v>438</v>
      </c>
      <c r="C180" t="s">
        <v>55</v>
      </c>
      <c r="D180">
        <v>3864910.6584728658</v>
      </c>
      <c r="E180">
        <v>124762.28619589779</v>
      </c>
      <c r="F180" s="22">
        <f t="shared" si="8"/>
        <v>3.2280768488758507E-2</v>
      </c>
      <c r="G180" t="e">
        <f>VLOOKUP(C180,host!F:O,9,0)</f>
        <v>#N/A</v>
      </c>
      <c r="H180" t="e">
        <f t="shared" si="9"/>
        <v>#N/A</v>
      </c>
      <c r="I180" t="e">
        <f t="shared" si="10"/>
        <v>#N/A</v>
      </c>
      <c r="J180" t="e">
        <f t="shared" si="11"/>
        <v>#N/A</v>
      </c>
    </row>
    <row r="181" spans="1:10">
      <c r="A181" t="s">
        <v>439</v>
      </c>
      <c r="B181" t="s">
        <v>440</v>
      </c>
      <c r="C181" t="s">
        <v>52</v>
      </c>
      <c r="D181">
        <v>350483.36395522399</v>
      </c>
      <c r="E181">
        <v>34883.476559270646</v>
      </c>
      <c r="F181" s="22">
        <f t="shared" si="8"/>
        <v>9.9529621507876156E-2</v>
      </c>
      <c r="G181" t="e">
        <f>VLOOKUP(C181,host!F:O,9,0)</f>
        <v>#N/A</v>
      </c>
      <c r="H181" t="e">
        <f t="shared" si="9"/>
        <v>#N/A</v>
      </c>
      <c r="I181" t="e">
        <f t="shared" si="10"/>
        <v>#N/A</v>
      </c>
      <c r="J181" t="e">
        <f t="shared" si="11"/>
        <v>#N/A</v>
      </c>
    </row>
    <row r="182" spans="1:10">
      <c r="A182" t="s">
        <v>441</v>
      </c>
      <c r="B182" t="s">
        <v>442</v>
      </c>
      <c r="C182" t="s">
        <v>48</v>
      </c>
      <c r="D182">
        <v>146942.20946624695</v>
      </c>
      <c r="E182">
        <v>22400.785659607234</v>
      </c>
      <c r="F182" s="22">
        <f t="shared" si="8"/>
        <v>0.15244622862944468</v>
      </c>
      <c r="G182" t="e">
        <f>VLOOKUP(C182,host!F:O,9,0)</f>
        <v>#N/A</v>
      </c>
      <c r="H182" t="e">
        <f t="shared" si="9"/>
        <v>#N/A</v>
      </c>
      <c r="I182" t="e">
        <f t="shared" si="10"/>
        <v>#N/A</v>
      </c>
      <c r="J182" t="e">
        <f t="shared" si="11"/>
        <v>#N/A</v>
      </c>
    </row>
    <row r="183" spans="1:10">
      <c r="A183" t="s">
        <v>443</v>
      </c>
      <c r="B183" t="s">
        <v>444</v>
      </c>
      <c r="C183" t="s">
        <v>46</v>
      </c>
      <c r="D183">
        <v>300466.72394593147</v>
      </c>
      <c r="E183">
        <v>26430.950450922905</v>
      </c>
      <c r="F183" s="22">
        <f t="shared" si="8"/>
        <v>8.7966314884436639E-2</v>
      </c>
      <c r="G183" t="e">
        <f>VLOOKUP(C183,host!F:O,9,0)</f>
        <v>#N/A</v>
      </c>
      <c r="H183" t="e">
        <f t="shared" si="9"/>
        <v>#N/A</v>
      </c>
      <c r="I183" t="e">
        <f t="shared" si="10"/>
        <v>#N/A</v>
      </c>
      <c r="J183" t="e">
        <f t="shared" si="11"/>
        <v>#N/A</v>
      </c>
    </row>
    <row r="184" spans="1:10">
      <c r="A184" t="s">
        <v>445</v>
      </c>
      <c r="B184" t="s">
        <v>446</v>
      </c>
      <c r="C184" t="s">
        <v>55</v>
      </c>
      <c r="D184">
        <v>3864910.6584728658</v>
      </c>
      <c r="E184">
        <v>3456874.6526380368</v>
      </c>
      <c r="F184" s="22">
        <f t="shared" si="8"/>
        <v>0.89442550115865926</v>
      </c>
      <c r="G184" t="e">
        <f>VLOOKUP(C184,host!F:O,9,0)</f>
        <v>#N/A</v>
      </c>
      <c r="H184" t="e">
        <f t="shared" si="9"/>
        <v>#N/A</v>
      </c>
      <c r="I184" t="e">
        <f t="shared" si="10"/>
        <v>#N/A</v>
      </c>
      <c r="J184" t="e">
        <f t="shared" si="11"/>
        <v>#N/A</v>
      </c>
    </row>
    <row r="185" spans="1:10">
      <c r="A185" t="s">
        <v>447</v>
      </c>
      <c r="B185" t="s">
        <v>448</v>
      </c>
      <c r="C185" t="s">
        <v>56</v>
      </c>
      <c r="D185">
        <v>261291.94293214509</v>
      </c>
      <c r="E185">
        <v>23340.834881496696</v>
      </c>
      <c r="F185" s="22">
        <f t="shared" si="8"/>
        <v>8.932856719412155E-2</v>
      </c>
      <c r="G185" t="e">
        <f>VLOOKUP(C185,host!F:O,9,0)</f>
        <v>#N/A</v>
      </c>
      <c r="H185" t="e">
        <f t="shared" si="9"/>
        <v>#N/A</v>
      </c>
      <c r="I185" t="e">
        <f t="shared" si="10"/>
        <v>#N/A</v>
      </c>
      <c r="J185" t="e">
        <f t="shared" si="11"/>
        <v>#N/A</v>
      </c>
    </row>
    <row r="186" spans="1:10">
      <c r="A186" t="s">
        <v>449</v>
      </c>
      <c r="B186" t="s">
        <v>450</v>
      </c>
      <c r="C186" t="s">
        <v>57</v>
      </c>
      <c r="D186">
        <v>322686.64585908852</v>
      </c>
      <c r="E186">
        <v>90488.140526090501</v>
      </c>
      <c r="F186" s="22">
        <f t="shared" si="8"/>
        <v>0.28042108865454896</v>
      </c>
      <c r="G186" t="e">
        <f>VLOOKUP(C186,host!F:O,9,0)</f>
        <v>#N/A</v>
      </c>
      <c r="H186" t="e">
        <f t="shared" si="9"/>
        <v>#N/A</v>
      </c>
      <c r="I186" t="e">
        <f t="shared" si="10"/>
        <v>#N/A</v>
      </c>
      <c r="J186" t="e">
        <f t="shared" si="11"/>
        <v>#N/A</v>
      </c>
    </row>
    <row r="187" spans="1:10">
      <c r="A187" t="s">
        <v>451</v>
      </c>
      <c r="B187" t="s">
        <v>452</v>
      </c>
      <c r="C187" t="s">
        <v>52</v>
      </c>
      <c r="D187">
        <v>350483.36395522399</v>
      </c>
      <c r="E187">
        <v>33953.271589601078</v>
      </c>
      <c r="F187" s="22">
        <f t="shared" si="8"/>
        <v>9.6875558390094596E-2</v>
      </c>
      <c r="G187" t="e">
        <f>VLOOKUP(C187,host!F:O,9,0)</f>
        <v>#N/A</v>
      </c>
      <c r="H187" t="e">
        <f t="shared" si="9"/>
        <v>#N/A</v>
      </c>
      <c r="I187" t="e">
        <f t="shared" si="10"/>
        <v>#N/A</v>
      </c>
      <c r="J187" t="e">
        <f t="shared" si="11"/>
        <v>#N/A</v>
      </c>
    </row>
    <row r="188" spans="1:10">
      <c r="A188" t="s">
        <v>453</v>
      </c>
      <c r="B188" t="s">
        <v>454</v>
      </c>
      <c r="C188" t="s">
        <v>58</v>
      </c>
      <c r="D188">
        <v>146968.10932478611</v>
      </c>
      <c r="E188">
        <v>40329.513106985629</v>
      </c>
      <c r="F188" s="22">
        <f t="shared" si="8"/>
        <v>0.27440996072053347</v>
      </c>
      <c r="G188" t="e">
        <f>VLOOKUP(C188,host!F:O,9,0)</f>
        <v>#N/A</v>
      </c>
      <c r="H188" t="e">
        <f t="shared" si="9"/>
        <v>#N/A</v>
      </c>
      <c r="I188" t="e">
        <f t="shared" si="10"/>
        <v>#N/A</v>
      </c>
      <c r="J188" t="e">
        <f t="shared" si="11"/>
        <v>#N/A</v>
      </c>
    </row>
    <row r="189" spans="1:10">
      <c r="A189" t="s">
        <v>455</v>
      </c>
      <c r="B189" t="s">
        <v>456</v>
      </c>
      <c r="C189" t="s">
        <v>53</v>
      </c>
      <c r="D189">
        <v>551758.43204467779</v>
      </c>
      <c r="E189">
        <v>38164.919061207605</v>
      </c>
      <c r="F189" s="22">
        <f t="shared" si="8"/>
        <v>6.9169616347824592E-2</v>
      </c>
      <c r="G189" t="e">
        <f>VLOOKUP(C189,host!F:O,9,0)</f>
        <v>#N/A</v>
      </c>
      <c r="H189" t="e">
        <f t="shared" si="9"/>
        <v>#N/A</v>
      </c>
      <c r="I189" t="e">
        <f t="shared" si="10"/>
        <v>#N/A</v>
      </c>
      <c r="J189" t="e">
        <f t="shared" si="11"/>
        <v>#N/A</v>
      </c>
    </row>
    <row r="190" spans="1:10">
      <c r="A190" t="s">
        <v>457</v>
      </c>
      <c r="B190" t="s">
        <v>458</v>
      </c>
      <c r="C190" t="s">
        <v>48</v>
      </c>
      <c r="D190">
        <v>146942.20946624695</v>
      </c>
      <c r="E190">
        <v>19510.787105930889</v>
      </c>
      <c r="F190" s="22">
        <f t="shared" si="8"/>
        <v>0.13277864254799146</v>
      </c>
      <c r="G190" t="e">
        <f>VLOOKUP(C190,host!F:O,9,0)</f>
        <v>#N/A</v>
      </c>
      <c r="H190" t="e">
        <f t="shared" si="9"/>
        <v>#N/A</v>
      </c>
      <c r="I190" t="e">
        <f t="shared" si="10"/>
        <v>#N/A</v>
      </c>
      <c r="J190" t="e">
        <f t="shared" si="11"/>
        <v>#N/A</v>
      </c>
    </row>
    <row r="191" spans="1:10">
      <c r="A191" t="s">
        <v>459</v>
      </c>
      <c r="B191" t="s">
        <v>460</v>
      </c>
      <c r="C191" t="s">
        <v>46</v>
      </c>
      <c r="D191">
        <v>300466.72394593147</v>
      </c>
      <c r="E191">
        <v>18978.890699442749</v>
      </c>
      <c r="F191" s="22">
        <f t="shared" si="8"/>
        <v>6.3164700736904139E-2</v>
      </c>
      <c r="G191" t="e">
        <f>VLOOKUP(C191,host!F:O,9,0)</f>
        <v>#N/A</v>
      </c>
      <c r="H191" t="e">
        <f t="shared" si="9"/>
        <v>#N/A</v>
      </c>
      <c r="I191" t="e">
        <f t="shared" si="10"/>
        <v>#N/A</v>
      </c>
      <c r="J191" t="e">
        <f t="shared" si="11"/>
        <v>#N/A</v>
      </c>
    </row>
    <row r="192" spans="1:10">
      <c r="A192" t="s">
        <v>461</v>
      </c>
      <c r="B192" t="s">
        <v>462</v>
      </c>
      <c r="C192" t="s">
        <v>52</v>
      </c>
      <c r="D192">
        <v>350483.36395522399</v>
      </c>
      <c r="E192">
        <v>19998.005407563836</v>
      </c>
      <c r="F192" s="22">
        <f t="shared" si="8"/>
        <v>5.7058358439285813E-2</v>
      </c>
      <c r="G192" t="e">
        <f>VLOOKUP(C192,host!F:O,9,0)</f>
        <v>#N/A</v>
      </c>
      <c r="H192" t="e">
        <f t="shared" si="9"/>
        <v>#N/A</v>
      </c>
      <c r="I192" t="e">
        <f t="shared" si="10"/>
        <v>#N/A</v>
      </c>
      <c r="J192" t="e">
        <f t="shared" si="11"/>
        <v>#N/A</v>
      </c>
    </row>
    <row r="193" spans="1:10">
      <c r="A193" t="s">
        <v>463</v>
      </c>
      <c r="B193" t="s">
        <v>464</v>
      </c>
      <c r="C193" t="s">
        <v>50</v>
      </c>
      <c r="D193">
        <v>320758.05936254008</v>
      </c>
      <c r="E193">
        <v>13270.504016219624</v>
      </c>
      <c r="F193" s="22">
        <f t="shared" si="8"/>
        <v>4.1372316700608605E-2</v>
      </c>
      <c r="G193" t="e">
        <f>VLOOKUP(C193,host!F:O,9,0)</f>
        <v>#N/A</v>
      </c>
      <c r="H193" t="e">
        <f t="shared" si="9"/>
        <v>#N/A</v>
      </c>
      <c r="I193" t="e">
        <f t="shared" si="10"/>
        <v>#N/A</v>
      </c>
      <c r="J193" t="e">
        <f t="shared" si="11"/>
        <v>#N/A</v>
      </c>
    </row>
    <row r="194" spans="1:10">
      <c r="A194" t="s">
        <v>465</v>
      </c>
      <c r="B194" t="s">
        <v>466</v>
      </c>
      <c r="C194" t="s">
        <v>59</v>
      </c>
      <c r="D194">
        <v>31459.484535154228</v>
      </c>
      <c r="E194">
        <v>31459.484535154228</v>
      </c>
      <c r="F194" s="22">
        <f t="shared" si="8"/>
        <v>1</v>
      </c>
      <c r="G194" t="e">
        <f>VLOOKUP(C194,host!F:O,9,0)</f>
        <v>#N/A</v>
      </c>
      <c r="H194" t="e">
        <f t="shared" si="9"/>
        <v>#N/A</v>
      </c>
      <c r="I194" t="e">
        <f t="shared" si="10"/>
        <v>#N/A</v>
      </c>
      <c r="J194" t="e">
        <f t="shared" si="11"/>
        <v>#N/A</v>
      </c>
    </row>
    <row r="195" spans="1:10">
      <c r="A195" t="s">
        <v>467</v>
      </c>
      <c r="B195" t="s">
        <v>468</v>
      </c>
      <c r="C195" t="s">
        <v>53</v>
      </c>
      <c r="D195">
        <v>551758.43204467779</v>
      </c>
      <c r="E195">
        <v>31384.365293074025</v>
      </c>
      <c r="F195" s="22">
        <f t="shared" ref="F195:F258" si="12">E195/D195</f>
        <v>5.6880626503108385E-2</v>
      </c>
      <c r="G195" t="e">
        <f>VLOOKUP(C195,host!F:O,9,0)</f>
        <v>#N/A</v>
      </c>
      <c r="H195" t="e">
        <f t="shared" ref="H195:H258" si="13">+G195*F195</f>
        <v>#N/A</v>
      </c>
      <c r="I195" t="e">
        <f t="shared" ref="I195:I258" si="14">ROUND(H195,0)</f>
        <v>#N/A</v>
      </c>
      <c r="J195" t="e">
        <f t="shared" ref="J195:J258" si="15">ROUND(I195/4,0)</f>
        <v>#N/A</v>
      </c>
    </row>
    <row r="196" spans="1:10">
      <c r="A196" t="s">
        <v>469</v>
      </c>
      <c r="B196" t="s">
        <v>470</v>
      </c>
      <c r="C196" t="s">
        <v>60</v>
      </c>
      <c r="D196">
        <v>109259.74773162084</v>
      </c>
      <c r="E196">
        <v>32323.400637238792</v>
      </c>
      <c r="F196" s="22">
        <f t="shared" si="12"/>
        <v>0.29583997133725842</v>
      </c>
      <c r="G196" t="e">
        <f>VLOOKUP(C196,host!F:O,9,0)</f>
        <v>#N/A</v>
      </c>
      <c r="H196" t="e">
        <f t="shared" si="13"/>
        <v>#N/A</v>
      </c>
      <c r="I196" t="e">
        <f t="shared" si="14"/>
        <v>#N/A</v>
      </c>
      <c r="J196" t="e">
        <f t="shared" si="15"/>
        <v>#N/A</v>
      </c>
    </row>
    <row r="197" spans="1:10">
      <c r="A197" t="s">
        <v>471</v>
      </c>
      <c r="B197" t="s">
        <v>472</v>
      </c>
      <c r="C197" t="s">
        <v>60</v>
      </c>
      <c r="D197">
        <v>109259.74773162084</v>
      </c>
      <c r="E197">
        <v>11167.237767531655</v>
      </c>
      <c r="F197" s="22">
        <f t="shared" si="12"/>
        <v>0.10220815990681395</v>
      </c>
      <c r="G197" t="e">
        <f>VLOOKUP(C197,host!F:O,9,0)</f>
        <v>#N/A</v>
      </c>
      <c r="H197" t="e">
        <f t="shared" si="13"/>
        <v>#N/A</v>
      </c>
      <c r="I197" t="e">
        <f t="shared" si="14"/>
        <v>#N/A</v>
      </c>
      <c r="J197" t="e">
        <f t="shared" si="15"/>
        <v>#N/A</v>
      </c>
    </row>
    <row r="198" spans="1:10">
      <c r="A198" t="s">
        <v>473</v>
      </c>
      <c r="B198" t="s">
        <v>474</v>
      </c>
      <c r="C198" t="s">
        <v>55</v>
      </c>
      <c r="D198">
        <v>3864910.6584728658</v>
      </c>
      <c r="E198">
        <v>22894.402206475712</v>
      </c>
      <c r="F198" s="22">
        <f t="shared" si="12"/>
        <v>5.9236562574312987E-3</v>
      </c>
      <c r="G198" t="e">
        <f>VLOOKUP(C198,host!F:O,9,0)</f>
        <v>#N/A</v>
      </c>
      <c r="H198" t="e">
        <f t="shared" si="13"/>
        <v>#N/A</v>
      </c>
      <c r="I198" t="e">
        <f t="shared" si="14"/>
        <v>#N/A</v>
      </c>
      <c r="J198" t="e">
        <f t="shared" si="15"/>
        <v>#N/A</v>
      </c>
    </row>
    <row r="199" spans="1:10">
      <c r="A199" t="s">
        <v>475</v>
      </c>
      <c r="B199" t="s">
        <v>476</v>
      </c>
      <c r="C199" t="s">
        <v>46</v>
      </c>
      <c r="D199">
        <v>300466.72394593147</v>
      </c>
      <c r="E199">
        <v>34053.918207034862</v>
      </c>
      <c r="F199" s="22">
        <f t="shared" si="12"/>
        <v>0.11333673745902995</v>
      </c>
      <c r="G199" t="e">
        <f>VLOOKUP(C199,host!F:O,9,0)</f>
        <v>#N/A</v>
      </c>
      <c r="H199" t="e">
        <f t="shared" si="13"/>
        <v>#N/A</v>
      </c>
      <c r="I199" t="e">
        <f t="shared" si="14"/>
        <v>#N/A</v>
      </c>
      <c r="J199" t="e">
        <f t="shared" si="15"/>
        <v>#N/A</v>
      </c>
    </row>
    <row r="200" spans="1:10">
      <c r="A200" t="s">
        <v>477</v>
      </c>
      <c r="B200" t="s">
        <v>478</v>
      </c>
      <c r="C200" t="s">
        <v>46</v>
      </c>
      <c r="D200">
        <v>300466.72394593147</v>
      </c>
      <c r="E200">
        <v>18920.459570910411</v>
      </c>
      <c r="F200" s="22">
        <f t="shared" si="12"/>
        <v>6.2970232851192923E-2</v>
      </c>
      <c r="G200" t="e">
        <f>VLOOKUP(C200,host!F:O,9,0)</f>
        <v>#N/A</v>
      </c>
      <c r="H200" t="e">
        <f t="shared" si="13"/>
        <v>#N/A</v>
      </c>
      <c r="I200" t="e">
        <f t="shared" si="14"/>
        <v>#N/A</v>
      </c>
      <c r="J200" t="e">
        <f t="shared" si="15"/>
        <v>#N/A</v>
      </c>
    </row>
    <row r="201" spans="1:10">
      <c r="A201" t="s">
        <v>479</v>
      </c>
      <c r="B201" t="s">
        <v>480</v>
      </c>
      <c r="C201" t="s">
        <v>53</v>
      </c>
      <c r="D201">
        <v>551758.43204467779</v>
      </c>
      <c r="E201">
        <v>18533.733149279797</v>
      </c>
      <c r="F201" s="22">
        <f t="shared" si="12"/>
        <v>3.3590303424269295E-2</v>
      </c>
      <c r="G201" t="e">
        <f>VLOOKUP(C201,host!F:O,9,0)</f>
        <v>#N/A</v>
      </c>
      <c r="H201" t="e">
        <f t="shared" si="13"/>
        <v>#N/A</v>
      </c>
      <c r="I201" t="e">
        <f t="shared" si="14"/>
        <v>#N/A</v>
      </c>
      <c r="J201" t="e">
        <f t="shared" si="15"/>
        <v>#N/A</v>
      </c>
    </row>
    <row r="202" spans="1:10">
      <c r="A202" t="s">
        <v>481</v>
      </c>
      <c r="B202" t="s">
        <v>482</v>
      </c>
      <c r="C202" t="s">
        <v>56</v>
      </c>
      <c r="D202">
        <v>261291.94293214509</v>
      </c>
      <c r="E202">
        <v>34045.716573210681</v>
      </c>
      <c r="F202" s="22">
        <f t="shared" si="12"/>
        <v>0.13029761343254281</v>
      </c>
      <c r="G202" t="e">
        <f>VLOOKUP(C202,host!F:O,9,0)</f>
        <v>#N/A</v>
      </c>
      <c r="H202" t="e">
        <f t="shared" si="13"/>
        <v>#N/A</v>
      </c>
      <c r="I202" t="e">
        <f t="shared" si="14"/>
        <v>#N/A</v>
      </c>
      <c r="J202" t="e">
        <f t="shared" si="15"/>
        <v>#N/A</v>
      </c>
    </row>
    <row r="203" spans="1:10">
      <c r="A203" t="s">
        <v>483</v>
      </c>
      <c r="B203" t="s">
        <v>484</v>
      </c>
      <c r="C203" t="s">
        <v>61</v>
      </c>
      <c r="D203">
        <v>32862.931224348817</v>
      </c>
      <c r="E203">
        <v>32862.931224348817</v>
      </c>
      <c r="F203" s="22">
        <f t="shared" si="12"/>
        <v>1</v>
      </c>
      <c r="G203" t="e">
        <f>VLOOKUP(C203,host!F:O,9,0)</f>
        <v>#N/A</v>
      </c>
      <c r="H203" t="e">
        <f t="shared" si="13"/>
        <v>#N/A</v>
      </c>
      <c r="I203" t="e">
        <f t="shared" si="14"/>
        <v>#N/A</v>
      </c>
      <c r="J203" t="e">
        <f t="shared" si="15"/>
        <v>#N/A</v>
      </c>
    </row>
    <row r="204" spans="1:10">
      <c r="A204" t="s">
        <v>485</v>
      </c>
      <c r="B204" t="s">
        <v>486</v>
      </c>
      <c r="C204" t="s">
        <v>53</v>
      </c>
      <c r="D204">
        <v>551758.43204467779</v>
      </c>
      <c r="E204">
        <v>29331.91053389628</v>
      </c>
      <c r="F204" s="22">
        <f t="shared" si="12"/>
        <v>5.3160783470403171E-2</v>
      </c>
      <c r="G204" t="e">
        <f>VLOOKUP(C204,host!F:O,9,0)</f>
        <v>#N/A</v>
      </c>
      <c r="H204" t="e">
        <f t="shared" si="13"/>
        <v>#N/A</v>
      </c>
      <c r="I204" t="e">
        <f t="shared" si="14"/>
        <v>#N/A</v>
      </c>
      <c r="J204" t="e">
        <f t="shared" si="15"/>
        <v>#N/A</v>
      </c>
    </row>
    <row r="205" spans="1:10">
      <c r="A205" t="s">
        <v>487</v>
      </c>
      <c r="B205" t="s">
        <v>488</v>
      </c>
      <c r="C205" t="s">
        <v>56</v>
      </c>
      <c r="D205">
        <v>261291.94293214509</v>
      </c>
      <c r="E205">
        <v>32168.477271097163</v>
      </c>
      <c r="F205" s="22">
        <f t="shared" si="12"/>
        <v>0.12311316189129871</v>
      </c>
      <c r="G205" t="e">
        <f>VLOOKUP(C205,host!F:O,9,0)</f>
        <v>#N/A</v>
      </c>
      <c r="H205" t="e">
        <f t="shared" si="13"/>
        <v>#N/A</v>
      </c>
      <c r="I205" t="e">
        <f t="shared" si="14"/>
        <v>#N/A</v>
      </c>
      <c r="J205" t="e">
        <f t="shared" si="15"/>
        <v>#N/A</v>
      </c>
    </row>
    <row r="206" spans="1:10">
      <c r="A206" t="s">
        <v>489</v>
      </c>
      <c r="B206" t="s">
        <v>490</v>
      </c>
      <c r="C206" t="s">
        <v>62</v>
      </c>
      <c r="D206">
        <v>282958.10260291136</v>
      </c>
      <c r="E206">
        <v>69734.781021793897</v>
      </c>
      <c r="F206" s="22">
        <f t="shared" si="12"/>
        <v>0.24644913992675463</v>
      </c>
      <c r="G206" t="e">
        <f>VLOOKUP(C206,host!F:O,9,0)</f>
        <v>#N/A</v>
      </c>
      <c r="H206" t="e">
        <f t="shared" si="13"/>
        <v>#N/A</v>
      </c>
      <c r="I206" t="e">
        <f t="shared" si="14"/>
        <v>#N/A</v>
      </c>
      <c r="J206" t="e">
        <f t="shared" si="15"/>
        <v>#N/A</v>
      </c>
    </row>
    <row r="207" spans="1:10">
      <c r="A207" t="s">
        <v>491</v>
      </c>
      <c r="B207" t="s">
        <v>492</v>
      </c>
      <c r="C207" t="s">
        <v>58</v>
      </c>
      <c r="D207">
        <v>146968.10932478611</v>
      </c>
      <c r="E207">
        <v>12555.219004312017</v>
      </c>
      <c r="F207" s="22">
        <f t="shared" si="12"/>
        <v>8.5428186169056092E-2</v>
      </c>
      <c r="G207" t="e">
        <f>VLOOKUP(C207,host!F:O,9,0)</f>
        <v>#N/A</v>
      </c>
      <c r="H207" t="e">
        <f t="shared" si="13"/>
        <v>#N/A</v>
      </c>
      <c r="I207" t="e">
        <f t="shared" si="14"/>
        <v>#N/A</v>
      </c>
      <c r="J207" t="e">
        <f t="shared" si="15"/>
        <v>#N/A</v>
      </c>
    </row>
    <row r="208" spans="1:10">
      <c r="A208" t="s">
        <v>493</v>
      </c>
      <c r="B208" t="s">
        <v>494</v>
      </c>
      <c r="C208" t="s">
        <v>56</v>
      </c>
      <c r="D208">
        <v>261291.94293214509</v>
      </c>
      <c r="E208">
        <v>76509.916615921698</v>
      </c>
      <c r="F208" s="22">
        <f t="shared" si="12"/>
        <v>0.29281391441828941</v>
      </c>
      <c r="G208" t="e">
        <f>VLOOKUP(C208,host!F:O,9,0)</f>
        <v>#N/A</v>
      </c>
      <c r="H208" t="e">
        <f t="shared" si="13"/>
        <v>#N/A</v>
      </c>
      <c r="I208" t="e">
        <f t="shared" si="14"/>
        <v>#N/A</v>
      </c>
      <c r="J208" t="e">
        <f t="shared" si="15"/>
        <v>#N/A</v>
      </c>
    </row>
    <row r="209" spans="1:10">
      <c r="A209" t="s">
        <v>495</v>
      </c>
      <c r="B209" t="s">
        <v>496</v>
      </c>
      <c r="C209" t="s">
        <v>53</v>
      </c>
      <c r="D209">
        <v>551758.43204467779</v>
      </c>
      <c r="E209">
        <v>22487.368621715668</v>
      </c>
      <c r="F209" s="22">
        <f t="shared" si="12"/>
        <v>4.075582232315534E-2</v>
      </c>
      <c r="G209" t="e">
        <f>VLOOKUP(C209,host!F:O,9,0)</f>
        <v>#N/A</v>
      </c>
      <c r="H209" t="e">
        <f t="shared" si="13"/>
        <v>#N/A</v>
      </c>
      <c r="I209" t="e">
        <f t="shared" si="14"/>
        <v>#N/A</v>
      </c>
      <c r="J209" t="e">
        <f t="shared" si="15"/>
        <v>#N/A</v>
      </c>
    </row>
    <row r="210" spans="1:10">
      <c r="A210" t="s">
        <v>497</v>
      </c>
      <c r="B210" t="s">
        <v>498</v>
      </c>
      <c r="C210" t="s">
        <v>63</v>
      </c>
      <c r="D210">
        <v>178276.64078654343</v>
      </c>
      <c r="E210">
        <v>80737.905185608382</v>
      </c>
      <c r="F210" s="22">
        <f t="shared" si="12"/>
        <v>0.45287988841049887</v>
      </c>
      <c r="G210" t="e">
        <f>VLOOKUP(C210,host!F:O,9,0)</f>
        <v>#N/A</v>
      </c>
      <c r="H210" t="e">
        <f t="shared" si="13"/>
        <v>#N/A</v>
      </c>
      <c r="I210" t="e">
        <f t="shared" si="14"/>
        <v>#N/A</v>
      </c>
      <c r="J210" t="e">
        <f t="shared" si="15"/>
        <v>#N/A</v>
      </c>
    </row>
    <row r="211" spans="1:10">
      <c r="A211" t="s">
        <v>499</v>
      </c>
      <c r="B211" t="s">
        <v>500</v>
      </c>
      <c r="C211" t="s">
        <v>64</v>
      </c>
      <c r="D211">
        <v>643968.1947633141</v>
      </c>
      <c r="E211">
        <v>21431.685777734041</v>
      </c>
      <c r="F211" s="22">
        <f t="shared" si="12"/>
        <v>3.3280658815162609E-2</v>
      </c>
      <c r="G211" t="e">
        <f>VLOOKUP(C211,host!F:O,9,0)</f>
        <v>#N/A</v>
      </c>
      <c r="H211" t="e">
        <f t="shared" si="13"/>
        <v>#N/A</v>
      </c>
      <c r="I211" t="e">
        <f t="shared" si="14"/>
        <v>#N/A</v>
      </c>
      <c r="J211" t="e">
        <f t="shared" si="15"/>
        <v>#N/A</v>
      </c>
    </row>
    <row r="212" spans="1:10">
      <c r="A212" t="s">
        <v>501</v>
      </c>
      <c r="B212" t="s">
        <v>502</v>
      </c>
      <c r="C212" t="s">
        <v>53</v>
      </c>
      <c r="D212">
        <v>551758.43204467779</v>
      </c>
      <c r="E212">
        <v>38183.875663096129</v>
      </c>
      <c r="F212" s="22">
        <f t="shared" si="12"/>
        <v>6.9203973053200654E-2</v>
      </c>
      <c r="G212" t="e">
        <f>VLOOKUP(C212,host!F:O,9,0)</f>
        <v>#N/A</v>
      </c>
      <c r="H212" t="e">
        <f t="shared" si="13"/>
        <v>#N/A</v>
      </c>
      <c r="I212" t="e">
        <f t="shared" si="14"/>
        <v>#N/A</v>
      </c>
      <c r="J212" t="e">
        <f t="shared" si="15"/>
        <v>#N/A</v>
      </c>
    </row>
    <row r="213" spans="1:10">
      <c r="A213" t="s">
        <v>503</v>
      </c>
      <c r="B213" t="s">
        <v>504</v>
      </c>
      <c r="C213" t="s">
        <v>56</v>
      </c>
      <c r="D213">
        <v>261291.94293214509</v>
      </c>
      <c r="E213">
        <v>33071.314362766345</v>
      </c>
      <c r="F213" s="22">
        <f t="shared" si="12"/>
        <v>0.12656844291350627</v>
      </c>
      <c r="G213" t="e">
        <f>VLOOKUP(C213,host!F:O,9,0)</f>
        <v>#N/A</v>
      </c>
      <c r="H213" t="e">
        <f t="shared" si="13"/>
        <v>#N/A</v>
      </c>
      <c r="I213" t="e">
        <f t="shared" si="14"/>
        <v>#N/A</v>
      </c>
      <c r="J213" t="e">
        <f t="shared" si="15"/>
        <v>#N/A</v>
      </c>
    </row>
    <row r="214" spans="1:10">
      <c r="A214" t="s">
        <v>505</v>
      </c>
      <c r="B214" t="s">
        <v>506</v>
      </c>
      <c r="C214" t="s">
        <v>52</v>
      </c>
      <c r="D214">
        <v>350483.36395522399</v>
      </c>
      <c r="E214">
        <v>16195.108948926447</v>
      </c>
      <c r="F214" s="22">
        <f t="shared" si="12"/>
        <v>4.6207924867428099E-2</v>
      </c>
      <c r="G214" t="e">
        <f>VLOOKUP(C214,host!F:O,9,0)</f>
        <v>#N/A</v>
      </c>
      <c r="H214" t="e">
        <f t="shared" si="13"/>
        <v>#N/A</v>
      </c>
      <c r="I214" t="e">
        <f t="shared" si="14"/>
        <v>#N/A</v>
      </c>
      <c r="J214" t="e">
        <f t="shared" si="15"/>
        <v>#N/A</v>
      </c>
    </row>
    <row r="215" spans="1:10">
      <c r="A215" t="s">
        <v>507</v>
      </c>
      <c r="B215" t="s">
        <v>508</v>
      </c>
      <c r="C215" t="s">
        <v>57</v>
      </c>
      <c r="D215">
        <v>322686.64585908852</v>
      </c>
      <c r="E215">
        <v>55187.598357454182</v>
      </c>
      <c r="F215" s="22">
        <f t="shared" si="12"/>
        <v>0.17102535560629806</v>
      </c>
      <c r="G215" t="e">
        <f>VLOOKUP(C215,host!F:O,9,0)</f>
        <v>#N/A</v>
      </c>
      <c r="H215" t="e">
        <f t="shared" si="13"/>
        <v>#N/A</v>
      </c>
      <c r="I215" t="e">
        <f t="shared" si="14"/>
        <v>#N/A</v>
      </c>
      <c r="J215" t="e">
        <f t="shared" si="15"/>
        <v>#N/A</v>
      </c>
    </row>
    <row r="216" spans="1:10">
      <c r="A216" t="s">
        <v>509</v>
      </c>
      <c r="B216" t="s">
        <v>510</v>
      </c>
      <c r="C216" t="s">
        <v>65</v>
      </c>
      <c r="D216">
        <v>347925.82510711503</v>
      </c>
      <c r="E216">
        <v>37700.728464132131</v>
      </c>
      <c r="F216" s="22">
        <f t="shared" si="12"/>
        <v>0.10835852283320821</v>
      </c>
      <c r="G216" t="e">
        <f>VLOOKUP(C216,host!F:O,9,0)</f>
        <v>#N/A</v>
      </c>
      <c r="H216" t="e">
        <f t="shared" si="13"/>
        <v>#N/A</v>
      </c>
      <c r="I216" t="e">
        <f t="shared" si="14"/>
        <v>#N/A</v>
      </c>
      <c r="J216" t="e">
        <f t="shared" si="15"/>
        <v>#N/A</v>
      </c>
    </row>
    <row r="217" spans="1:10">
      <c r="A217" t="s">
        <v>511</v>
      </c>
      <c r="B217" t="s">
        <v>512</v>
      </c>
      <c r="C217" t="s">
        <v>58</v>
      </c>
      <c r="D217">
        <v>146968.10932478611</v>
      </c>
      <c r="E217">
        <v>48089.672741622882</v>
      </c>
      <c r="F217" s="22">
        <f t="shared" si="12"/>
        <v>0.32721161728595893</v>
      </c>
      <c r="G217" t="e">
        <f>VLOOKUP(C217,host!F:O,9,0)</f>
        <v>#N/A</v>
      </c>
      <c r="H217" t="e">
        <f t="shared" si="13"/>
        <v>#N/A</v>
      </c>
      <c r="I217" t="e">
        <f t="shared" si="14"/>
        <v>#N/A</v>
      </c>
      <c r="J217" t="e">
        <f t="shared" si="15"/>
        <v>#N/A</v>
      </c>
    </row>
    <row r="218" spans="1:10">
      <c r="A218" t="s">
        <v>513</v>
      </c>
      <c r="B218" t="s">
        <v>514</v>
      </c>
      <c r="C218" t="s">
        <v>60</v>
      </c>
      <c r="D218">
        <v>109259.74773162084</v>
      </c>
      <c r="E218">
        <v>32509.957462273815</v>
      </c>
      <c r="F218" s="22">
        <f t="shared" si="12"/>
        <v>0.29754743294968378</v>
      </c>
      <c r="G218" t="e">
        <f>VLOOKUP(C218,host!F:O,9,0)</f>
        <v>#N/A</v>
      </c>
      <c r="H218" t="e">
        <f t="shared" si="13"/>
        <v>#N/A</v>
      </c>
      <c r="I218" t="e">
        <f t="shared" si="14"/>
        <v>#N/A</v>
      </c>
      <c r="J218" t="e">
        <f t="shared" si="15"/>
        <v>#N/A</v>
      </c>
    </row>
    <row r="219" spans="1:10">
      <c r="A219" t="s">
        <v>515</v>
      </c>
      <c r="B219" t="s">
        <v>516</v>
      </c>
      <c r="C219" t="s">
        <v>62</v>
      </c>
      <c r="D219">
        <v>282958.10260291136</v>
      </c>
      <c r="E219">
        <v>20921.387777237182</v>
      </c>
      <c r="F219" s="22">
        <f t="shared" si="12"/>
        <v>7.3938111631308062E-2</v>
      </c>
      <c r="G219" t="e">
        <f>VLOOKUP(C219,host!F:O,9,0)</f>
        <v>#N/A</v>
      </c>
      <c r="H219" t="e">
        <f t="shared" si="13"/>
        <v>#N/A</v>
      </c>
      <c r="I219" t="e">
        <f t="shared" si="14"/>
        <v>#N/A</v>
      </c>
      <c r="J219" t="e">
        <f t="shared" si="15"/>
        <v>#N/A</v>
      </c>
    </row>
    <row r="220" spans="1:10">
      <c r="A220" t="s">
        <v>517</v>
      </c>
      <c r="B220" t="s">
        <v>518</v>
      </c>
      <c r="C220" t="s">
        <v>56</v>
      </c>
      <c r="D220">
        <v>261291.94293214509</v>
      </c>
      <c r="E220">
        <v>44110.636646203537</v>
      </c>
      <c r="F220" s="22">
        <f t="shared" si="12"/>
        <v>0.16881743903469165</v>
      </c>
      <c r="G220" t="e">
        <f>VLOOKUP(C220,host!F:O,9,0)</f>
        <v>#N/A</v>
      </c>
      <c r="H220" t="e">
        <f t="shared" si="13"/>
        <v>#N/A</v>
      </c>
      <c r="I220" t="e">
        <f t="shared" si="14"/>
        <v>#N/A</v>
      </c>
      <c r="J220" t="e">
        <f t="shared" si="15"/>
        <v>#N/A</v>
      </c>
    </row>
    <row r="221" spans="1:10">
      <c r="A221" t="s">
        <v>519</v>
      </c>
      <c r="B221" t="s">
        <v>520</v>
      </c>
      <c r="C221" t="s">
        <v>46</v>
      </c>
      <c r="D221">
        <v>300466.72394593147</v>
      </c>
      <c r="E221">
        <v>15385.202902777348</v>
      </c>
      <c r="F221" s="22">
        <f t="shared" si="12"/>
        <v>5.1204348690359107E-2</v>
      </c>
      <c r="G221" t="e">
        <f>VLOOKUP(C221,host!F:O,9,0)</f>
        <v>#N/A</v>
      </c>
      <c r="H221" t="e">
        <f t="shared" si="13"/>
        <v>#N/A</v>
      </c>
      <c r="I221" t="e">
        <f t="shared" si="14"/>
        <v>#N/A</v>
      </c>
      <c r="J221" t="e">
        <f t="shared" si="15"/>
        <v>#N/A</v>
      </c>
    </row>
    <row r="222" spans="1:10">
      <c r="A222" t="s">
        <v>521</v>
      </c>
      <c r="B222" t="s">
        <v>522</v>
      </c>
      <c r="C222" t="s">
        <v>65</v>
      </c>
      <c r="D222">
        <v>347925.82510711503</v>
      </c>
      <c r="E222">
        <v>16621.661732696884</v>
      </c>
      <c r="F222" s="22">
        <f t="shared" si="12"/>
        <v>4.7773578542436787E-2</v>
      </c>
      <c r="G222" t="e">
        <f>VLOOKUP(C222,host!F:O,9,0)</f>
        <v>#N/A</v>
      </c>
      <c r="H222" t="e">
        <f t="shared" si="13"/>
        <v>#N/A</v>
      </c>
      <c r="I222" t="e">
        <f t="shared" si="14"/>
        <v>#N/A</v>
      </c>
      <c r="J222" t="e">
        <f t="shared" si="15"/>
        <v>#N/A</v>
      </c>
    </row>
    <row r="223" spans="1:10">
      <c r="A223" t="s">
        <v>523</v>
      </c>
      <c r="B223" t="s">
        <v>524</v>
      </c>
      <c r="C223" t="s">
        <v>65</v>
      </c>
      <c r="D223">
        <v>347925.82510711503</v>
      </c>
      <c r="E223">
        <v>49696.499312691609</v>
      </c>
      <c r="F223" s="22">
        <f t="shared" si="12"/>
        <v>0.1428364775664229</v>
      </c>
      <c r="G223" t="e">
        <f>VLOOKUP(C223,host!F:O,9,0)</f>
        <v>#N/A</v>
      </c>
      <c r="H223" t="e">
        <f t="shared" si="13"/>
        <v>#N/A</v>
      </c>
      <c r="I223" t="e">
        <f t="shared" si="14"/>
        <v>#N/A</v>
      </c>
      <c r="J223" t="e">
        <f t="shared" si="15"/>
        <v>#N/A</v>
      </c>
    </row>
    <row r="224" spans="1:10">
      <c r="A224" t="s">
        <v>525</v>
      </c>
      <c r="B224" t="s">
        <v>526</v>
      </c>
      <c r="C224" t="s">
        <v>58</v>
      </c>
      <c r="D224">
        <v>146968.10932478611</v>
      </c>
      <c r="E224">
        <v>27934.5167501738</v>
      </c>
      <c r="F224" s="22">
        <f t="shared" si="12"/>
        <v>0.19007196104320201</v>
      </c>
      <c r="G224" t="e">
        <f>VLOOKUP(C224,host!F:O,9,0)</f>
        <v>#N/A</v>
      </c>
      <c r="H224" t="e">
        <f t="shared" si="13"/>
        <v>#N/A</v>
      </c>
      <c r="I224" t="e">
        <f t="shared" si="14"/>
        <v>#N/A</v>
      </c>
      <c r="J224" t="e">
        <f t="shared" si="15"/>
        <v>#N/A</v>
      </c>
    </row>
    <row r="225" spans="1:10">
      <c r="A225" t="s">
        <v>527</v>
      </c>
      <c r="B225" t="s">
        <v>528</v>
      </c>
      <c r="C225" t="s">
        <v>64</v>
      </c>
      <c r="D225">
        <v>643968.1947633141</v>
      </c>
      <c r="E225">
        <v>56613.099423584834</v>
      </c>
      <c r="F225" s="22">
        <f t="shared" si="12"/>
        <v>8.7912881232267343E-2</v>
      </c>
      <c r="G225" t="e">
        <f>VLOOKUP(C225,host!F:O,9,0)</f>
        <v>#N/A</v>
      </c>
      <c r="H225" t="e">
        <f t="shared" si="13"/>
        <v>#N/A</v>
      </c>
      <c r="I225" t="e">
        <f t="shared" si="14"/>
        <v>#N/A</v>
      </c>
      <c r="J225" t="e">
        <f t="shared" si="15"/>
        <v>#N/A</v>
      </c>
    </row>
    <row r="226" spans="1:10">
      <c r="A226" t="s">
        <v>529</v>
      </c>
      <c r="B226" t="s">
        <v>530</v>
      </c>
      <c r="C226" t="s">
        <v>60</v>
      </c>
      <c r="D226">
        <v>109259.74773162084</v>
      </c>
      <c r="E226">
        <v>33259.151864576605</v>
      </c>
      <c r="F226" s="22">
        <f t="shared" si="12"/>
        <v>0.30440443580624416</v>
      </c>
      <c r="G226" t="e">
        <f>VLOOKUP(C226,host!F:O,9,0)</f>
        <v>#N/A</v>
      </c>
      <c r="H226" t="e">
        <f t="shared" si="13"/>
        <v>#N/A</v>
      </c>
      <c r="I226" t="e">
        <f t="shared" si="14"/>
        <v>#N/A</v>
      </c>
      <c r="J226" t="e">
        <f t="shared" si="15"/>
        <v>#N/A</v>
      </c>
    </row>
    <row r="227" spans="1:10">
      <c r="A227" t="s">
        <v>531</v>
      </c>
      <c r="B227" t="s">
        <v>532</v>
      </c>
      <c r="C227" t="s">
        <v>58</v>
      </c>
      <c r="D227">
        <v>146968.10932478611</v>
      </c>
      <c r="E227">
        <v>18059.187721691877</v>
      </c>
      <c r="F227" s="22">
        <f t="shared" si="12"/>
        <v>0.12287827478125012</v>
      </c>
      <c r="G227" t="e">
        <f>VLOOKUP(C227,host!F:O,9,0)</f>
        <v>#N/A</v>
      </c>
      <c r="H227" t="e">
        <f t="shared" si="13"/>
        <v>#N/A</v>
      </c>
      <c r="I227" t="e">
        <f t="shared" si="14"/>
        <v>#N/A</v>
      </c>
      <c r="J227" t="e">
        <f t="shared" si="15"/>
        <v>#N/A</v>
      </c>
    </row>
    <row r="228" spans="1:10">
      <c r="A228" t="s">
        <v>533</v>
      </c>
      <c r="B228" t="s">
        <v>534</v>
      </c>
      <c r="C228" t="s">
        <v>64</v>
      </c>
      <c r="D228">
        <v>643968.1947633141</v>
      </c>
      <c r="E228">
        <v>32277.807348918977</v>
      </c>
      <c r="F228" s="22">
        <f t="shared" si="12"/>
        <v>5.0123294304592877E-2</v>
      </c>
      <c r="G228" t="e">
        <f>VLOOKUP(C228,host!F:O,9,0)</f>
        <v>#N/A</v>
      </c>
      <c r="H228" t="e">
        <f t="shared" si="13"/>
        <v>#N/A</v>
      </c>
      <c r="I228" t="e">
        <f t="shared" si="14"/>
        <v>#N/A</v>
      </c>
      <c r="J228" t="e">
        <f t="shared" si="15"/>
        <v>#N/A</v>
      </c>
    </row>
    <row r="229" spans="1:10">
      <c r="A229" t="s">
        <v>535</v>
      </c>
      <c r="B229" t="s">
        <v>536</v>
      </c>
      <c r="C229" t="s">
        <v>56</v>
      </c>
      <c r="D229">
        <v>261291.94293214509</v>
      </c>
      <c r="E229">
        <v>18045.046581448118</v>
      </c>
      <c r="F229" s="22">
        <f t="shared" si="12"/>
        <v>6.9060861115546282E-2</v>
      </c>
      <c r="G229" t="e">
        <f>VLOOKUP(C229,host!F:O,9,0)</f>
        <v>#N/A</v>
      </c>
      <c r="H229" t="e">
        <f t="shared" si="13"/>
        <v>#N/A</v>
      </c>
      <c r="I229" t="e">
        <f t="shared" si="14"/>
        <v>#N/A</v>
      </c>
      <c r="J229" t="e">
        <f t="shared" si="15"/>
        <v>#N/A</v>
      </c>
    </row>
    <row r="230" spans="1:10">
      <c r="A230" t="s">
        <v>537</v>
      </c>
      <c r="B230" t="s">
        <v>538</v>
      </c>
      <c r="C230" t="s">
        <v>65</v>
      </c>
      <c r="D230">
        <v>347925.82510711503</v>
      </c>
      <c r="E230">
        <v>22707.239835650002</v>
      </c>
      <c r="F230" s="22">
        <f t="shared" si="12"/>
        <v>6.5264600087272001E-2</v>
      </c>
      <c r="G230" t="e">
        <f>VLOOKUP(C230,host!F:O,9,0)</f>
        <v>#N/A</v>
      </c>
      <c r="H230" t="e">
        <f t="shared" si="13"/>
        <v>#N/A</v>
      </c>
      <c r="I230" t="e">
        <f t="shared" si="14"/>
        <v>#N/A</v>
      </c>
      <c r="J230" t="e">
        <f t="shared" si="15"/>
        <v>#N/A</v>
      </c>
    </row>
    <row r="231" spans="1:10">
      <c r="A231" t="s">
        <v>539</v>
      </c>
      <c r="B231" t="s">
        <v>540</v>
      </c>
      <c r="C231" t="s">
        <v>65</v>
      </c>
      <c r="D231">
        <v>347925.82510711503</v>
      </c>
      <c r="E231">
        <v>31582.943313106316</v>
      </c>
      <c r="F231" s="22">
        <f t="shared" si="12"/>
        <v>9.0774932568983502E-2</v>
      </c>
      <c r="G231" t="e">
        <f>VLOOKUP(C231,host!F:O,9,0)</f>
        <v>#N/A</v>
      </c>
      <c r="H231" t="e">
        <f t="shared" si="13"/>
        <v>#N/A</v>
      </c>
      <c r="I231" t="e">
        <f t="shared" si="14"/>
        <v>#N/A</v>
      </c>
      <c r="J231" t="e">
        <f t="shared" si="15"/>
        <v>#N/A</v>
      </c>
    </row>
    <row r="232" spans="1:10">
      <c r="A232" t="s">
        <v>541</v>
      </c>
      <c r="B232" t="s">
        <v>542</v>
      </c>
      <c r="C232" t="s">
        <v>65</v>
      </c>
      <c r="D232">
        <v>347925.82510711503</v>
      </c>
      <c r="E232">
        <v>90182.390926501728</v>
      </c>
      <c r="F232" s="22">
        <f t="shared" si="12"/>
        <v>0.2592000490298112</v>
      </c>
      <c r="G232" t="e">
        <f>VLOOKUP(C232,host!F:O,9,0)</f>
        <v>#N/A</v>
      </c>
      <c r="H232" t="e">
        <f t="shared" si="13"/>
        <v>#N/A</v>
      </c>
      <c r="I232" t="e">
        <f t="shared" si="14"/>
        <v>#N/A</v>
      </c>
      <c r="J232" t="e">
        <f t="shared" si="15"/>
        <v>#N/A</v>
      </c>
    </row>
    <row r="233" spans="1:10">
      <c r="A233" t="s">
        <v>543</v>
      </c>
      <c r="B233" t="s">
        <v>544</v>
      </c>
      <c r="C233" t="s">
        <v>57</v>
      </c>
      <c r="D233">
        <v>322686.64585908852</v>
      </c>
      <c r="E233">
        <v>44161.868223875666</v>
      </c>
      <c r="F233" s="22">
        <f t="shared" si="12"/>
        <v>0.13685682004690197</v>
      </c>
      <c r="G233" t="e">
        <f>VLOOKUP(C233,host!F:O,9,0)</f>
        <v>#N/A</v>
      </c>
      <c r="H233" t="e">
        <f t="shared" si="13"/>
        <v>#N/A</v>
      </c>
      <c r="I233" t="e">
        <f t="shared" si="14"/>
        <v>#N/A</v>
      </c>
      <c r="J233" t="e">
        <f t="shared" si="15"/>
        <v>#N/A</v>
      </c>
    </row>
    <row r="234" spans="1:10">
      <c r="A234" t="s">
        <v>273</v>
      </c>
      <c r="B234" t="s">
        <v>545</v>
      </c>
      <c r="C234" t="s">
        <v>64</v>
      </c>
      <c r="D234">
        <v>643968.1947633141</v>
      </c>
      <c r="E234">
        <v>109669.47109926357</v>
      </c>
      <c r="F234" s="22">
        <f t="shared" si="12"/>
        <v>0.17030262051928169</v>
      </c>
      <c r="G234" t="e">
        <f>VLOOKUP(C234,host!F:O,9,0)</f>
        <v>#N/A</v>
      </c>
      <c r="H234" t="e">
        <f t="shared" si="13"/>
        <v>#N/A</v>
      </c>
      <c r="I234" t="e">
        <f t="shared" si="14"/>
        <v>#N/A</v>
      </c>
      <c r="J234" t="e">
        <f t="shared" si="15"/>
        <v>#N/A</v>
      </c>
    </row>
    <row r="235" spans="1:10">
      <c r="A235" t="s">
        <v>546</v>
      </c>
      <c r="B235" t="s">
        <v>547</v>
      </c>
      <c r="C235" t="s">
        <v>62</v>
      </c>
      <c r="D235">
        <v>282958.10260291136</v>
      </c>
      <c r="E235">
        <v>33842.175728331255</v>
      </c>
      <c r="F235" s="22">
        <f t="shared" si="12"/>
        <v>0.11960136648153737</v>
      </c>
      <c r="G235" t="e">
        <f>VLOOKUP(C235,host!F:O,9,0)</f>
        <v>#N/A</v>
      </c>
      <c r="H235" t="e">
        <f t="shared" si="13"/>
        <v>#N/A</v>
      </c>
      <c r="I235" t="e">
        <f t="shared" si="14"/>
        <v>#N/A</v>
      </c>
      <c r="J235" t="e">
        <f t="shared" si="15"/>
        <v>#N/A</v>
      </c>
    </row>
    <row r="236" spans="1:10">
      <c r="A236" t="s">
        <v>548</v>
      </c>
      <c r="B236" t="s">
        <v>549</v>
      </c>
      <c r="C236" t="s">
        <v>64</v>
      </c>
      <c r="D236">
        <v>643968.1947633141</v>
      </c>
      <c r="E236">
        <v>45044.096844117055</v>
      </c>
      <c r="F236" s="22">
        <f t="shared" si="12"/>
        <v>6.9947704266159746E-2</v>
      </c>
      <c r="G236" t="e">
        <f>VLOOKUP(C236,host!F:O,9,0)</f>
        <v>#N/A</v>
      </c>
      <c r="H236" t="e">
        <f t="shared" si="13"/>
        <v>#N/A</v>
      </c>
      <c r="I236" t="e">
        <f t="shared" si="14"/>
        <v>#N/A</v>
      </c>
      <c r="J236" t="e">
        <f t="shared" si="15"/>
        <v>#N/A</v>
      </c>
    </row>
    <row r="237" spans="1:10">
      <c r="A237" t="s">
        <v>550</v>
      </c>
      <c r="B237" t="s">
        <v>551</v>
      </c>
      <c r="C237" t="s">
        <v>63</v>
      </c>
      <c r="D237">
        <v>178276.64078654343</v>
      </c>
      <c r="E237">
        <v>12993.109368955387</v>
      </c>
      <c r="F237" s="22">
        <f t="shared" si="12"/>
        <v>7.288172646528869E-2</v>
      </c>
      <c r="G237" t="e">
        <f>VLOOKUP(C237,host!F:O,9,0)</f>
        <v>#N/A</v>
      </c>
      <c r="H237" t="e">
        <f t="shared" si="13"/>
        <v>#N/A</v>
      </c>
      <c r="I237" t="e">
        <f t="shared" si="14"/>
        <v>#N/A</v>
      </c>
      <c r="J237" t="e">
        <f t="shared" si="15"/>
        <v>#N/A</v>
      </c>
    </row>
    <row r="238" spans="1:10">
      <c r="A238" t="s">
        <v>552</v>
      </c>
      <c r="B238" t="s">
        <v>553</v>
      </c>
      <c r="C238" t="s">
        <v>63</v>
      </c>
      <c r="D238">
        <v>178276.64078654343</v>
      </c>
      <c r="E238">
        <v>49958.949951046176</v>
      </c>
      <c r="F238" s="22">
        <f t="shared" si="12"/>
        <v>0.28023273116786901</v>
      </c>
      <c r="G238" t="e">
        <f>VLOOKUP(C238,host!F:O,9,0)</f>
        <v>#N/A</v>
      </c>
      <c r="H238" t="e">
        <f t="shared" si="13"/>
        <v>#N/A</v>
      </c>
      <c r="I238" t="e">
        <f t="shared" si="14"/>
        <v>#N/A</v>
      </c>
      <c r="J238" t="e">
        <f t="shared" si="15"/>
        <v>#N/A</v>
      </c>
    </row>
    <row r="239" spans="1:10">
      <c r="A239" t="s">
        <v>554</v>
      </c>
      <c r="B239" t="s">
        <v>555</v>
      </c>
      <c r="C239" t="s">
        <v>65</v>
      </c>
      <c r="D239">
        <v>347925.82510711503</v>
      </c>
      <c r="E239">
        <v>55028.580082250599</v>
      </c>
      <c r="F239" s="22">
        <f t="shared" si="12"/>
        <v>0.15816181528148734</v>
      </c>
      <c r="G239" t="e">
        <f>VLOOKUP(C239,host!F:O,9,0)</f>
        <v>#N/A</v>
      </c>
      <c r="H239" t="e">
        <f t="shared" si="13"/>
        <v>#N/A</v>
      </c>
      <c r="I239" t="e">
        <f t="shared" si="14"/>
        <v>#N/A</v>
      </c>
      <c r="J239" t="e">
        <f t="shared" si="15"/>
        <v>#N/A</v>
      </c>
    </row>
    <row r="240" spans="1:10">
      <c r="A240" t="s">
        <v>556</v>
      </c>
      <c r="B240" t="s">
        <v>557</v>
      </c>
      <c r="C240" t="s">
        <v>57</v>
      </c>
      <c r="D240">
        <v>322686.64585908852</v>
      </c>
      <c r="E240">
        <v>21629.343219813141</v>
      </c>
      <c r="F240" s="22">
        <f t="shared" si="12"/>
        <v>6.7028938127356802E-2</v>
      </c>
      <c r="G240" t="e">
        <f>VLOOKUP(C240,host!F:O,9,0)</f>
        <v>#N/A</v>
      </c>
      <c r="H240" t="e">
        <f t="shared" si="13"/>
        <v>#N/A</v>
      </c>
      <c r="I240" t="e">
        <f t="shared" si="14"/>
        <v>#N/A</v>
      </c>
      <c r="J240" t="e">
        <f t="shared" si="15"/>
        <v>#N/A</v>
      </c>
    </row>
    <row r="241" spans="1:10">
      <c r="A241" t="s">
        <v>558</v>
      </c>
      <c r="B241" t="s">
        <v>559</v>
      </c>
      <c r="C241" t="s">
        <v>65</v>
      </c>
      <c r="D241">
        <v>347925.82510711503</v>
      </c>
      <c r="E241">
        <v>23606.553665640862</v>
      </c>
      <c r="F241" s="22">
        <f t="shared" si="12"/>
        <v>6.7849386168368428E-2</v>
      </c>
      <c r="G241" t="e">
        <f>VLOOKUP(C241,host!F:O,9,0)</f>
        <v>#N/A</v>
      </c>
      <c r="H241" t="e">
        <f t="shared" si="13"/>
        <v>#N/A</v>
      </c>
      <c r="I241" t="e">
        <f t="shared" si="14"/>
        <v>#N/A</v>
      </c>
      <c r="J241" t="e">
        <f t="shared" si="15"/>
        <v>#N/A</v>
      </c>
    </row>
    <row r="242" spans="1:10">
      <c r="A242" t="s">
        <v>560</v>
      </c>
      <c r="B242" t="s">
        <v>561</v>
      </c>
      <c r="C242" t="s">
        <v>66</v>
      </c>
      <c r="D242">
        <v>190201.082351811</v>
      </c>
      <c r="E242">
        <v>24531.145322175202</v>
      </c>
      <c r="F242" s="22">
        <f t="shared" si="12"/>
        <v>0.12897479351248092</v>
      </c>
      <c r="G242" t="e">
        <f>VLOOKUP(C242,host!F:O,9,0)</f>
        <v>#N/A</v>
      </c>
      <c r="H242" t="e">
        <f t="shared" si="13"/>
        <v>#N/A</v>
      </c>
      <c r="I242" t="e">
        <f t="shared" si="14"/>
        <v>#N/A</v>
      </c>
      <c r="J242" t="e">
        <f t="shared" si="15"/>
        <v>#N/A</v>
      </c>
    </row>
    <row r="243" spans="1:10">
      <c r="A243" t="s">
        <v>562</v>
      </c>
      <c r="B243" t="s">
        <v>563</v>
      </c>
      <c r="C243" t="s">
        <v>65</v>
      </c>
      <c r="D243">
        <v>347925.82510711503</v>
      </c>
      <c r="E243">
        <v>20799.227774444684</v>
      </c>
      <c r="F243" s="22">
        <f t="shared" si="12"/>
        <v>5.9780637922009036E-2</v>
      </c>
      <c r="G243" t="e">
        <f>VLOOKUP(C243,host!F:O,9,0)</f>
        <v>#N/A</v>
      </c>
      <c r="H243" t="e">
        <f t="shared" si="13"/>
        <v>#N/A</v>
      </c>
      <c r="I243" t="e">
        <f t="shared" si="14"/>
        <v>#N/A</v>
      </c>
      <c r="J243" t="e">
        <f t="shared" si="15"/>
        <v>#N/A</v>
      </c>
    </row>
    <row r="244" spans="1:10">
      <c r="A244" t="s">
        <v>564</v>
      </c>
      <c r="B244" t="s">
        <v>565</v>
      </c>
      <c r="C244" t="s">
        <v>62</v>
      </c>
      <c r="D244">
        <v>282958.10260291136</v>
      </c>
      <c r="E244">
        <v>82312.097046921859</v>
      </c>
      <c r="F244" s="22">
        <f t="shared" si="12"/>
        <v>0.29089853335083449</v>
      </c>
      <c r="G244" t="e">
        <f>VLOOKUP(C244,host!F:O,9,0)</f>
        <v>#N/A</v>
      </c>
      <c r="H244" t="e">
        <f t="shared" si="13"/>
        <v>#N/A</v>
      </c>
      <c r="I244" t="e">
        <f t="shared" si="14"/>
        <v>#N/A</v>
      </c>
      <c r="J244" t="e">
        <f t="shared" si="15"/>
        <v>#N/A</v>
      </c>
    </row>
    <row r="245" spans="1:10">
      <c r="A245" t="s">
        <v>566</v>
      </c>
      <c r="B245" t="s">
        <v>567</v>
      </c>
      <c r="C245" t="s">
        <v>57</v>
      </c>
      <c r="D245">
        <v>322686.64585908852</v>
      </c>
      <c r="E245">
        <v>91206.708377203395</v>
      </c>
      <c r="F245" s="22">
        <f t="shared" si="12"/>
        <v>0.2826479172523047</v>
      </c>
      <c r="G245" t="e">
        <f>VLOOKUP(C245,host!F:O,9,0)</f>
        <v>#N/A</v>
      </c>
      <c r="H245" t="e">
        <f t="shared" si="13"/>
        <v>#N/A</v>
      </c>
      <c r="I245" t="e">
        <f t="shared" si="14"/>
        <v>#N/A</v>
      </c>
      <c r="J245" t="e">
        <f t="shared" si="15"/>
        <v>#N/A</v>
      </c>
    </row>
    <row r="246" spans="1:10">
      <c r="A246" t="s">
        <v>568</v>
      </c>
      <c r="B246" t="s">
        <v>569</v>
      </c>
      <c r="C246" t="s">
        <v>67</v>
      </c>
      <c r="D246">
        <v>53115.307101922721</v>
      </c>
      <c r="E246">
        <v>25308.554368569447</v>
      </c>
      <c r="F246" s="22">
        <f t="shared" si="12"/>
        <v>0.47648325406468944</v>
      </c>
      <c r="G246" t="e">
        <f>VLOOKUP(C246,host!F:O,9,0)</f>
        <v>#N/A</v>
      </c>
      <c r="H246" t="e">
        <f t="shared" si="13"/>
        <v>#N/A</v>
      </c>
      <c r="I246" t="e">
        <f t="shared" si="14"/>
        <v>#N/A</v>
      </c>
      <c r="J246" t="e">
        <f t="shared" si="15"/>
        <v>#N/A</v>
      </c>
    </row>
    <row r="247" spans="1:10">
      <c r="A247" t="s">
        <v>570</v>
      </c>
      <c r="B247" t="s">
        <v>571</v>
      </c>
      <c r="C247" t="s">
        <v>68</v>
      </c>
      <c r="D247">
        <v>186554.10961072828</v>
      </c>
      <c r="E247">
        <v>4579.604988436512</v>
      </c>
      <c r="F247" s="22">
        <f t="shared" si="12"/>
        <v>2.4548400450638747E-2</v>
      </c>
      <c r="G247" t="e">
        <f>VLOOKUP(C247,host!F:O,9,0)</f>
        <v>#N/A</v>
      </c>
      <c r="H247" t="e">
        <f t="shared" si="13"/>
        <v>#N/A</v>
      </c>
      <c r="I247" t="e">
        <f t="shared" si="14"/>
        <v>#N/A</v>
      </c>
      <c r="J247" t="e">
        <f t="shared" si="15"/>
        <v>#N/A</v>
      </c>
    </row>
    <row r="248" spans="1:10">
      <c r="A248" t="s">
        <v>572</v>
      </c>
      <c r="B248" t="s">
        <v>573</v>
      </c>
      <c r="C248" t="s">
        <v>64</v>
      </c>
      <c r="D248">
        <v>643968.1947633141</v>
      </c>
      <c r="E248">
        <v>95117.601796851304</v>
      </c>
      <c r="F248" s="22">
        <f t="shared" si="12"/>
        <v>0.14770543416637386</v>
      </c>
      <c r="G248" t="e">
        <f>VLOOKUP(C248,host!F:O,9,0)</f>
        <v>#N/A</v>
      </c>
      <c r="H248" t="e">
        <f t="shared" si="13"/>
        <v>#N/A</v>
      </c>
      <c r="I248" t="e">
        <f t="shared" si="14"/>
        <v>#N/A</v>
      </c>
      <c r="J248" t="e">
        <f t="shared" si="15"/>
        <v>#N/A</v>
      </c>
    </row>
    <row r="249" spans="1:10">
      <c r="A249" t="s">
        <v>574</v>
      </c>
      <c r="B249" t="s">
        <v>575</v>
      </c>
      <c r="C249" t="s">
        <v>64</v>
      </c>
      <c r="D249">
        <v>643968.1947633141</v>
      </c>
      <c r="E249">
        <v>149282.73931943061</v>
      </c>
      <c r="F249" s="22">
        <f t="shared" si="12"/>
        <v>0.23181694458419397</v>
      </c>
      <c r="G249" t="e">
        <f>VLOOKUP(C249,host!F:O,9,0)</f>
        <v>#N/A</v>
      </c>
      <c r="H249" t="e">
        <f t="shared" si="13"/>
        <v>#N/A</v>
      </c>
      <c r="I249" t="e">
        <f t="shared" si="14"/>
        <v>#N/A</v>
      </c>
      <c r="J249" t="e">
        <f t="shared" si="15"/>
        <v>#N/A</v>
      </c>
    </row>
    <row r="250" spans="1:10">
      <c r="A250" t="s">
        <v>576</v>
      </c>
      <c r="B250" t="s">
        <v>577</v>
      </c>
      <c r="C250" t="s">
        <v>63</v>
      </c>
      <c r="D250">
        <v>178276.64078654343</v>
      </c>
      <c r="E250">
        <v>5615.6886379415846</v>
      </c>
      <c r="F250" s="22">
        <f t="shared" si="12"/>
        <v>3.1499856701167235E-2</v>
      </c>
      <c r="G250" t="e">
        <f>VLOOKUP(C250,host!F:O,9,0)</f>
        <v>#N/A</v>
      </c>
      <c r="H250" t="e">
        <f t="shared" si="13"/>
        <v>#N/A</v>
      </c>
      <c r="I250" t="e">
        <f t="shared" si="14"/>
        <v>#N/A</v>
      </c>
      <c r="J250" t="e">
        <f t="shared" si="15"/>
        <v>#N/A</v>
      </c>
    </row>
    <row r="251" spans="1:10">
      <c r="A251" t="s">
        <v>578</v>
      </c>
      <c r="B251" t="s">
        <v>579</v>
      </c>
      <c r="C251" t="s">
        <v>69</v>
      </c>
      <c r="D251">
        <v>94309.246795786719</v>
      </c>
      <c r="E251">
        <v>26663.264051222654</v>
      </c>
      <c r="F251" s="22">
        <f t="shared" si="12"/>
        <v>0.28272163077453227</v>
      </c>
      <c r="G251" t="e">
        <f>VLOOKUP(C251,host!F:O,9,0)</f>
        <v>#N/A</v>
      </c>
      <c r="H251" t="e">
        <f t="shared" si="13"/>
        <v>#N/A</v>
      </c>
      <c r="I251" t="e">
        <f t="shared" si="14"/>
        <v>#N/A</v>
      </c>
      <c r="J251" t="e">
        <f t="shared" si="15"/>
        <v>#N/A</v>
      </c>
    </row>
    <row r="252" spans="1:10">
      <c r="A252" t="s">
        <v>580</v>
      </c>
      <c r="B252" t="s">
        <v>581</v>
      </c>
      <c r="C252" t="s">
        <v>66</v>
      </c>
      <c r="D252">
        <v>190201.082351811</v>
      </c>
      <c r="E252">
        <v>99122.494773353057</v>
      </c>
      <c r="F252" s="22">
        <f t="shared" si="12"/>
        <v>0.52114579763541113</v>
      </c>
      <c r="G252" t="e">
        <f>VLOOKUP(C252,host!F:O,9,0)</f>
        <v>#N/A</v>
      </c>
      <c r="H252" t="e">
        <f t="shared" si="13"/>
        <v>#N/A</v>
      </c>
      <c r="I252" t="e">
        <f t="shared" si="14"/>
        <v>#N/A</v>
      </c>
      <c r="J252" t="e">
        <f t="shared" si="15"/>
        <v>#N/A</v>
      </c>
    </row>
    <row r="253" spans="1:10">
      <c r="A253" t="s">
        <v>582</v>
      </c>
      <c r="B253" t="s">
        <v>583</v>
      </c>
      <c r="C253" t="s">
        <v>69</v>
      </c>
      <c r="D253">
        <v>94309.246795786719</v>
      </c>
      <c r="E253">
        <v>22289.391251805238</v>
      </c>
      <c r="F253" s="22">
        <f t="shared" si="12"/>
        <v>0.23634364613333991</v>
      </c>
      <c r="G253" t="e">
        <f>VLOOKUP(C253,host!F:O,9,0)</f>
        <v>#N/A</v>
      </c>
      <c r="H253" t="e">
        <f t="shared" si="13"/>
        <v>#N/A</v>
      </c>
      <c r="I253" t="e">
        <f t="shared" si="14"/>
        <v>#N/A</v>
      </c>
      <c r="J253" t="e">
        <f t="shared" si="15"/>
        <v>#N/A</v>
      </c>
    </row>
    <row r="254" spans="1:10">
      <c r="A254" t="s">
        <v>584</v>
      </c>
      <c r="B254" t="s">
        <v>585</v>
      </c>
      <c r="C254" t="s">
        <v>69</v>
      </c>
      <c r="D254">
        <v>94309.246795786719</v>
      </c>
      <c r="E254">
        <v>32831.344313293601</v>
      </c>
      <c r="F254" s="22">
        <f t="shared" si="12"/>
        <v>0.34812434017615701</v>
      </c>
      <c r="G254" t="e">
        <f>VLOOKUP(C254,host!F:O,9,0)</f>
        <v>#N/A</v>
      </c>
      <c r="H254" t="e">
        <f t="shared" si="13"/>
        <v>#N/A</v>
      </c>
      <c r="I254" t="e">
        <f t="shared" si="14"/>
        <v>#N/A</v>
      </c>
      <c r="J254" t="e">
        <f t="shared" si="15"/>
        <v>#N/A</v>
      </c>
    </row>
    <row r="255" spans="1:10">
      <c r="A255" t="s">
        <v>586</v>
      </c>
      <c r="B255" t="s">
        <v>587</v>
      </c>
      <c r="C255" t="s">
        <v>70</v>
      </c>
      <c r="D255">
        <v>494996.35413218429</v>
      </c>
      <c r="E255">
        <v>29413.114718309007</v>
      </c>
      <c r="F255" s="22">
        <f t="shared" si="12"/>
        <v>5.9420871432225741E-2</v>
      </c>
      <c r="G255" t="e">
        <f>VLOOKUP(C255,host!F:O,9,0)</f>
        <v>#N/A</v>
      </c>
      <c r="H255" t="e">
        <f t="shared" si="13"/>
        <v>#N/A</v>
      </c>
      <c r="I255" t="e">
        <f t="shared" si="14"/>
        <v>#N/A</v>
      </c>
      <c r="J255" t="e">
        <f t="shared" si="15"/>
        <v>#N/A</v>
      </c>
    </row>
    <row r="256" spans="1:10">
      <c r="A256" t="s">
        <v>588</v>
      </c>
      <c r="B256" t="s">
        <v>589</v>
      </c>
      <c r="C256" t="s">
        <v>68</v>
      </c>
      <c r="D256">
        <v>186554.10961072828</v>
      </c>
      <c r="E256">
        <v>26169.249418050611</v>
      </c>
      <c r="F256" s="22">
        <f t="shared" si="12"/>
        <v>0.14027699241070848</v>
      </c>
      <c r="G256" t="e">
        <f>VLOOKUP(C256,host!F:O,9,0)</f>
        <v>#N/A</v>
      </c>
      <c r="H256" t="e">
        <f t="shared" si="13"/>
        <v>#N/A</v>
      </c>
      <c r="I256" t="e">
        <f t="shared" si="14"/>
        <v>#N/A</v>
      </c>
      <c r="J256" t="e">
        <f t="shared" si="15"/>
        <v>#N/A</v>
      </c>
    </row>
    <row r="257" spans="1:10">
      <c r="A257" t="s">
        <v>590</v>
      </c>
      <c r="B257" t="s">
        <v>591</v>
      </c>
      <c r="C257" t="s">
        <v>68</v>
      </c>
      <c r="D257">
        <v>186554.10961072828</v>
      </c>
      <c r="E257">
        <v>12815.252676869526</v>
      </c>
      <c r="F257" s="22">
        <f t="shared" si="12"/>
        <v>6.8694561077268013E-2</v>
      </c>
      <c r="G257" t="e">
        <f>VLOOKUP(C257,host!F:O,9,0)</f>
        <v>#N/A</v>
      </c>
      <c r="H257" t="e">
        <f t="shared" si="13"/>
        <v>#N/A</v>
      </c>
      <c r="I257" t="e">
        <f t="shared" si="14"/>
        <v>#N/A</v>
      </c>
      <c r="J257" t="e">
        <f t="shared" si="15"/>
        <v>#N/A</v>
      </c>
    </row>
    <row r="258" spans="1:10">
      <c r="A258" t="s">
        <v>592</v>
      </c>
      <c r="B258" t="s">
        <v>593</v>
      </c>
      <c r="C258" t="s">
        <v>68</v>
      </c>
      <c r="D258">
        <v>186554.10961072828</v>
      </c>
      <c r="E258">
        <v>7077.6308368159098</v>
      </c>
      <c r="F258" s="22">
        <f t="shared" si="12"/>
        <v>3.793875595442199E-2</v>
      </c>
      <c r="G258" t="e">
        <f>VLOOKUP(C258,host!F:O,9,0)</f>
        <v>#N/A</v>
      </c>
      <c r="H258" t="e">
        <f t="shared" si="13"/>
        <v>#N/A</v>
      </c>
      <c r="I258" t="e">
        <f t="shared" si="14"/>
        <v>#N/A</v>
      </c>
      <c r="J258" t="e">
        <f t="shared" si="15"/>
        <v>#N/A</v>
      </c>
    </row>
    <row r="259" spans="1:10">
      <c r="A259" t="s">
        <v>594</v>
      </c>
      <c r="B259" t="s">
        <v>595</v>
      </c>
      <c r="C259" t="s">
        <v>64</v>
      </c>
      <c r="D259">
        <v>643968.1947633141</v>
      </c>
      <c r="E259">
        <v>92714.222715111959</v>
      </c>
      <c r="F259" s="22">
        <f t="shared" ref="F259:F300" si="16">E259/D259</f>
        <v>0.14397329475128567</v>
      </c>
      <c r="G259" t="e">
        <f>VLOOKUP(C259,host!F:O,9,0)</f>
        <v>#N/A</v>
      </c>
      <c r="H259" t="e">
        <f t="shared" ref="H259:H300" si="17">+G259*F259</f>
        <v>#N/A</v>
      </c>
      <c r="I259" t="e">
        <f t="shared" ref="I259:I300" si="18">ROUND(H259,0)</f>
        <v>#N/A</v>
      </c>
      <c r="J259" t="e">
        <f t="shared" ref="J259:J300" si="19">ROUND(I259/4,0)</f>
        <v>#N/A</v>
      </c>
    </row>
    <row r="260" spans="1:10">
      <c r="A260" t="s">
        <v>596</v>
      </c>
      <c r="B260" t="s">
        <v>597</v>
      </c>
      <c r="C260" t="s">
        <v>67</v>
      </c>
      <c r="D260">
        <v>53115.307101922721</v>
      </c>
      <c r="E260">
        <v>15335.458923792903</v>
      </c>
      <c r="F260" s="22">
        <f t="shared" si="16"/>
        <v>0.28872014039880745</v>
      </c>
      <c r="G260" t="e">
        <f>VLOOKUP(C260,host!F:O,9,0)</f>
        <v>#N/A</v>
      </c>
      <c r="H260" t="e">
        <f t="shared" si="17"/>
        <v>#N/A</v>
      </c>
      <c r="I260" t="e">
        <f t="shared" si="18"/>
        <v>#N/A</v>
      </c>
      <c r="J260" t="e">
        <f t="shared" si="19"/>
        <v>#N/A</v>
      </c>
    </row>
    <row r="261" spans="1:10">
      <c r="A261" t="s">
        <v>598</v>
      </c>
      <c r="B261" t="s">
        <v>599</v>
      </c>
      <c r="C261" t="s">
        <v>68</v>
      </c>
      <c r="D261">
        <v>186554.10961072828</v>
      </c>
      <c r="E261">
        <v>85708.928180637842</v>
      </c>
      <c r="F261" s="22">
        <f t="shared" si="16"/>
        <v>0.45943200264782014</v>
      </c>
      <c r="G261" t="e">
        <f>VLOOKUP(C261,host!F:O,9,0)</f>
        <v>#N/A</v>
      </c>
      <c r="H261" t="e">
        <f t="shared" si="17"/>
        <v>#N/A</v>
      </c>
      <c r="I261" t="e">
        <f t="shared" si="18"/>
        <v>#N/A</v>
      </c>
      <c r="J261" t="e">
        <f t="shared" si="19"/>
        <v>#N/A</v>
      </c>
    </row>
    <row r="262" spans="1:10">
      <c r="A262" t="s">
        <v>600</v>
      </c>
      <c r="B262" t="s">
        <v>601</v>
      </c>
      <c r="C262" t="s">
        <v>57</v>
      </c>
      <c r="D262">
        <v>322686.64585908852</v>
      </c>
      <c r="E262">
        <v>20012.987154653209</v>
      </c>
      <c r="F262" s="22">
        <f t="shared" si="16"/>
        <v>6.2019880312594408E-2</v>
      </c>
      <c r="G262" t="e">
        <f>VLOOKUP(C262,host!F:O,9,0)</f>
        <v>#N/A</v>
      </c>
      <c r="H262" t="e">
        <f t="shared" si="17"/>
        <v>#N/A</v>
      </c>
      <c r="I262" t="e">
        <f t="shared" si="18"/>
        <v>#N/A</v>
      </c>
      <c r="J262" t="e">
        <f t="shared" si="19"/>
        <v>#N/A</v>
      </c>
    </row>
    <row r="263" spans="1:10">
      <c r="A263" t="s">
        <v>602</v>
      </c>
      <c r="B263" t="s">
        <v>603</v>
      </c>
      <c r="C263" t="s">
        <v>70</v>
      </c>
      <c r="D263">
        <v>494996.35413218429</v>
      </c>
      <c r="E263">
        <v>38434.255572036265</v>
      </c>
      <c r="F263" s="22">
        <f t="shared" si="16"/>
        <v>7.764553264118132E-2</v>
      </c>
      <c r="G263" t="e">
        <f>VLOOKUP(C263,host!F:O,9,0)</f>
        <v>#N/A</v>
      </c>
      <c r="H263" t="e">
        <f t="shared" si="17"/>
        <v>#N/A</v>
      </c>
      <c r="I263" t="e">
        <f t="shared" si="18"/>
        <v>#N/A</v>
      </c>
      <c r="J263" t="e">
        <f t="shared" si="19"/>
        <v>#N/A</v>
      </c>
    </row>
    <row r="264" spans="1:10">
      <c r="A264" t="s">
        <v>604</v>
      </c>
      <c r="B264" t="s">
        <v>605</v>
      </c>
      <c r="C264" t="s">
        <v>70</v>
      </c>
      <c r="D264">
        <v>494996.35413218429</v>
      </c>
      <c r="E264">
        <v>16690.80662627369</v>
      </c>
      <c r="F264" s="22">
        <f t="shared" si="16"/>
        <v>3.3719049619134286E-2</v>
      </c>
      <c r="G264" t="e">
        <f>VLOOKUP(C264,host!F:O,9,0)</f>
        <v>#N/A</v>
      </c>
      <c r="H264" t="e">
        <f t="shared" si="17"/>
        <v>#N/A</v>
      </c>
      <c r="I264" t="e">
        <f t="shared" si="18"/>
        <v>#N/A</v>
      </c>
      <c r="J264" t="e">
        <f t="shared" si="19"/>
        <v>#N/A</v>
      </c>
    </row>
    <row r="265" spans="1:10">
      <c r="A265" t="s">
        <v>606</v>
      </c>
      <c r="B265" t="s">
        <v>607</v>
      </c>
      <c r="C265" t="s">
        <v>67</v>
      </c>
      <c r="D265">
        <v>53115.307101922721</v>
      </c>
      <c r="E265">
        <v>12471.293809560386</v>
      </c>
      <c r="F265" s="22">
        <f t="shared" si="16"/>
        <v>0.23479660553650339</v>
      </c>
      <c r="G265" t="e">
        <f>VLOOKUP(C265,host!F:O,9,0)</f>
        <v>#N/A</v>
      </c>
      <c r="H265" t="e">
        <f t="shared" si="17"/>
        <v>#N/A</v>
      </c>
      <c r="I265" t="e">
        <f t="shared" si="18"/>
        <v>#N/A</v>
      </c>
      <c r="J265" t="e">
        <f t="shared" si="19"/>
        <v>#N/A</v>
      </c>
    </row>
    <row r="266" spans="1:10">
      <c r="A266" t="s">
        <v>608</v>
      </c>
      <c r="B266" t="s">
        <v>609</v>
      </c>
      <c r="C266" t="s">
        <v>70</v>
      </c>
      <c r="D266">
        <v>494996.35413218429</v>
      </c>
      <c r="E266">
        <v>17605.309364282028</v>
      </c>
      <c r="F266" s="22">
        <f t="shared" si="16"/>
        <v>3.5566543505451131E-2</v>
      </c>
      <c r="G266" t="e">
        <f>VLOOKUP(C266,host!F:O,9,0)</f>
        <v>#N/A</v>
      </c>
      <c r="H266" t="e">
        <f t="shared" si="17"/>
        <v>#N/A</v>
      </c>
      <c r="I266" t="e">
        <f t="shared" si="18"/>
        <v>#N/A</v>
      </c>
      <c r="J266" t="e">
        <f t="shared" si="19"/>
        <v>#N/A</v>
      </c>
    </row>
    <row r="267" spans="1:10">
      <c r="A267" t="s">
        <v>610</v>
      </c>
      <c r="B267" t="s">
        <v>611</v>
      </c>
      <c r="C267" t="s">
        <v>70</v>
      </c>
      <c r="D267">
        <v>494996.35413218429</v>
      </c>
      <c r="E267">
        <v>29775.990193929039</v>
      </c>
      <c r="F267" s="22">
        <f t="shared" si="16"/>
        <v>6.0153958600627652E-2</v>
      </c>
      <c r="G267" t="e">
        <f>VLOOKUP(C267,host!F:O,9,0)</f>
        <v>#N/A</v>
      </c>
      <c r="H267" t="e">
        <f t="shared" si="17"/>
        <v>#N/A</v>
      </c>
      <c r="I267" t="e">
        <f t="shared" si="18"/>
        <v>#N/A</v>
      </c>
      <c r="J267" t="e">
        <f t="shared" si="19"/>
        <v>#N/A</v>
      </c>
    </row>
    <row r="268" spans="1:10">
      <c r="A268" t="s">
        <v>612</v>
      </c>
      <c r="B268" t="s">
        <v>613</v>
      </c>
      <c r="C268" t="s">
        <v>62</v>
      </c>
      <c r="D268">
        <v>282958.10260291136</v>
      </c>
      <c r="E268">
        <v>34556.700692706938</v>
      </c>
      <c r="F268" s="22">
        <f t="shared" si="16"/>
        <v>0.12212656352591539</v>
      </c>
      <c r="G268" t="e">
        <f>VLOOKUP(C268,host!F:O,9,0)</f>
        <v>#N/A</v>
      </c>
      <c r="H268" t="e">
        <f t="shared" si="17"/>
        <v>#N/A</v>
      </c>
      <c r="I268" t="e">
        <f t="shared" si="18"/>
        <v>#N/A</v>
      </c>
      <c r="J268" t="e">
        <f t="shared" si="19"/>
        <v>#N/A</v>
      </c>
    </row>
    <row r="269" spans="1:10">
      <c r="A269" t="s">
        <v>614</v>
      </c>
      <c r="B269" t="s">
        <v>615</v>
      </c>
      <c r="C269" t="s">
        <v>62</v>
      </c>
      <c r="D269">
        <v>282958.10260291136</v>
      </c>
      <c r="E269">
        <v>26448.881308574397</v>
      </c>
      <c r="F269" s="22">
        <f t="shared" si="16"/>
        <v>9.3472782950101196E-2</v>
      </c>
      <c r="G269" t="e">
        <f>VLOOKUP(C269,host!F:O,9,0)</f>
        <v>#N/A</v>
      </c>
      <c r="H269" t="e">
        <f t="shared" si="17"/>
        <v>#N/A</v>
      </c>
      <c r="I269" t="e">
        <f t="shared" si="18"/>
        <v>#N/A</v>
      </c>
      <c r="J269" t="e">
        <f t="shared" si="19"/>
        <v>#N/A</v>
      </c>
    </row>
    <row r="270" spans="1:10">
      <c r="A270" t="s">
        <v>616</v>
      </c>
      <c r="B270" t="s">
        <v>617</v>
      </c>
      <c r="C270" t="s">
        <v>62</v>
      </c>
      <c r="D270">
        <v>282958.10260291136</v>
      </c>
      <c r="E270">
        <v>15142.07902734629</v>
      </c>
      <c r="F270" s="22">
        <f t="shared" si="16"/>
        <v>5.3513502133550474E-2</v>
      </c>
      <c r="G270" t="e">
        <f>VLOOKUP(C270,host!F:O,9,0)</f>
        <v>#N/A</v>
      </c>
      <c r="H270" t="e">
        <f t="shared" si="17"/>
        <v>#N/A</v>
      </c>
      <c r="I270" t="e">
        <f t="shared" si="18"/>
        <v>#N/A</v>
      </c>
      <c r="J270" t="e">
        <f t="shared" si="19"/>
        <v>#N/A</v>
      </c>
    </row>
    <row r="271" spans="1:10">
      <c r="A271" t="s">
        <v>618</v>
      </c>
      <c r="B271" t="s">
        <v>619</v>
      </c>
      <c r="C271" t="s">
        <v>70</v>
      </c>
      <c r="D271">
        <v>494996.35413218429</v>
      </c>
      <c r="E271">
        <v>16227.488348555235</v>
      </c>
      <c r="F271" s="22">
        <f t="shared" si="16"/>
        <v>3.2783046204461194E-2</v>
      </c>
      <c r="G271" t="e">
        <f>VLOOKUP(C271,host!F:O,9,0)</f>
        <v>#N/A</v>
      </c>
      <c r="H271" t="e">
        <f t="shared" si="17"/>
        <v>#N/A</v>
      </c>
      <c r="I271" t="e">
        <f t="shared" si="18"/>
        <v>#N/A</v>
      </c>
      <c r="J271" t="e">
        <f t="shared" si="19"/>
        <v>#N/A</v>
      </c>
    </row>
    <row r="272" spans="1:10">
      <c r="A272" t="s">
        <v>620</v>
      </c>
      <c r="B272" t="s">
        <v>621</v>
      </c>
      <c r="C272" t="s">
        <v>64</v>
      </c>
      <c r="D272">
        <v>643968.1947633141</v>
      </c>
      <c r="E272">
        <v>41817.470438300123</v>
      </c>
      <c r="F272" s="22">
        <f t="shared" si="16"/>
        <v>6.4937167360679726E-2</v>
      </c>
      <c r="G272" t="e">
        <f>VLOOKUP(C272,host!F:O,9,0)</f>
        <v>#N/A</v>
      </c>
      <c r="H272" t="e">
        <f t="shared" si="17"/>
        <v>#N/A</v>
      </c>
      <c r="I272" t="e">
        <f t="shared" si="18"/>
        <v>#N/A</v>
      </c>
      <c r="J272" t="e">
        <f t="shared" si="19"/>
        <v>#N/A</v>
      </c>
    </row>
    <row r="273" spans="1:10">
      <c r="A273" t="s">
        <v>622</v>
      </c>
      <c r="B273" t="s">
        <v>623</v>
      </c>
      <c r="C273" t="s">
        <v>70</v>
      </c>
      <c r="D273">
        <v>494996.35413218429</v>
      </c>
      <c r="E273">
        <v>35531.44429877049</v>
      </c>
      <c r="F273" s="22">
        <f t="shared" si="16"/>
        <v>7.1781224249749004E-2</v>
      </c>
      <c r="G273" t="e">
        <f>VLOOKUP(C273,host!F:O,9,0)</f>
        <v>#N/A</v>
      </c>
      <c r="H273" t="e">
        <f t="shared" si="17"/>
        <v>#N/A</v>
      </c>
      <c r="I273" t="e">
        <f t="shared" si="18"/>
        <v>#N/A</v>
      </c>
      <c r="J273" t="e">
        <f t="shared" si="19"/>
        <v>#N/A</v>
      </c>
    </row>
    <row r="274" spans="1:10">
      <c r="A274" t="s">
        <v>624</v>
      </c>
      <c r="B274" t="s">
        <v>625</v>
      </c>
      <c r="C274" t="s">
        <v>71</v>
      </c>
      <c r="D274">
        <v>129656.82900812245</v>
      </c>
      <c r="E274">
        <v>27437.300750291015</v>
      </c>
      <c r="F274" s="22">
        <f t="shared" si="16"/>
        <v>0.2116147754050979</v>
      </c>
      <c r="G274" t="e">
        <f>VLOOKUP(C274,host!F:O,9,0)</f>
        <v>#N/A</v>
      </c>
      <c r="H274" t="e">
        <f t="shared" si="17"/>
        <v>#N/A</v>
      </c>
      <c r="I274" t="e">
        <f t="shared" si="18"/>
        <v>#N/A</v>
      </c>
      <c r="J274" t="e">
        <f t="shared" si="19"/>
        <v>#N/A</v>
      </c>
    </row>
    <row r="275" spans="1:10">
      <c r="A275" t="s">
        <v>626</v>
      </c>
      <c r="B275" t="s">
        <v>627</v>
      </c>
      <c r="C275" t="s">
        <v>68</v>
      </c>
      <c r="D275">
        <v>186554.10961072828</v>
      </c>
      <c r="E275">
        <v>50203.443509917866</v>
      </c>
      <c r="F275" s="22">
        <f t="shared" si="16"/>
        <v>0.26910928745914259</v>
      </c>
      <c r="G275" t="e">
        <f>VLOOKUP(C275,host!F:O,9,0)</f>
        <v>#N/A</v>
      </c>
      <c r="H275" t="e">
        <f t="shared" si="17"/>
        <v>#N/A</v>
      </c>
      <c r="I275" t="e">
        <f t="shared" si="18"/>
        <v>#N/A</v>
      </c>
      <c r="J275" t="e">
        <f t="shared" si="19"/>
        <v>#N/A</v>
      </c>
    </row>
    <row r="276" spans="1:10">
      <c r="A276" t="s">
        <v>628</v>
      </c>
      <c r="B276" t="s">
        <v>629</v>
      </c>
      <c r="C276" t="s">
        <v>72</v>
      </c>
      <c r="D276">
        <v>56344.842332706779</v>
      </c>
      <c r="E276">
        <v>24378.308910249722</v>
      </c>
      <c r="F276" s="22">
        <f t="shared" si="16"/>
        <v>0.43266265200104603</v>
      </c>
      <c r="G276" t="e">
        <f>VLOOKUP(C276,host!F:O,9,0)</f>
        <v>#N/A</v>
      </c>
      <c r="H276" t="e">
        <f t="shared" si="17"/>
        <v>#N/A</v>
      </c>
      <c r="I276" t="e">
        <f t="shared" si="18"/>
        <v>#N/A</v>
      </c>
      <c r="J276" t="e">
        <f t="shared" si="19"/>
        <v>#N/A</v>
      </c>
    </row>
    <row r="277" spans="1:10">
      <c r="A277" t="s">
        <v>630</v>
      </c>
      <c r="B277" t="s">
        <v>631</v>
      </c>
      <c r="C277" t="s">
        <v>70</v>
      </c>
      <c r="D277">
        <v>494996.35413218429</v>
      </c>
      <c r="E277">
        <v>53344.370877952664</v>
      </c>
      <c r="F277" s="22">
        <f t="shared" si="16"/>
        <v>0.10776719956144876</v>
      </c>
      <c r="G277" t="e">
        <f>VLOOKUP(C277,host!F:O,9,0)</f>
        <v>#N/A</v>
      </c>
      <c r="H277" t="e">
        <f t="shared" si="17"/>
        <v>#N/A</v>
      </c>
      <c r="I277" t="e">
        <f t="shared" si="18"/>
        <v>#N/A</v>
      </c>
      <c r="J277" t="e">
        <f t="shared" si="19"/>
        <v>#N/A</v>
      </c>
    </row>
    <row r="278" spans="1:10">
      <c r="A278" t="s">
        <v>632</v>
      </c>
      <c r="B278" t="s">
        <v>633</v>
      </c>
      <c r="C278" t="s">
        <v>71</v>
      </c>
      <c r="D278">
        <v>129656.82900812245</v>
      </c>
      <c r="E278">
        <v>19054.972251265197</v>
      </c>
      <c r="F278" s="22">
        <f t="shared" si="16"/>
        <v>0.14696466354326376</v>
      </c>
      <c r="G278" t="e">
        <f>VLOOKUP(C278,host!F:O,9,0)</f>
        <v>#N/A</v>
      </c>
      <c r="H278" t="e">
        <f t="shared" si="17"/>
        <v>#N/A</v>
      </c>
      <c r="I278" t="e">
        <f t="shared" si="18"/>
        <v>#N/A</v>
      </c>
      <c r="J278" t="e">
        <f t="shared" si="19"/>
        <v>#N/A</v>
      </c>
    </row>
    <row r="279" spans="1:10">
      <c r="A279" t="s">
        <v>634</v>
      </c>
      <c r="B279" t="s">
        <v>635</v>
      </c>
      <c r="C279" t="s">
        <v>73</v>
      </c>
      <c r="D279">
        <v>75396.885147217021</v>
      </c>
      <c r="E279">
        <v>28864.718778055165</v>
      </c>
      <c r="F279" s="22">
        <f t="shared" si="16"/>
        <v>0.38283701935026943</v>
      </c>
      <c r="G279" t="e">
        <f>VLOOKUP(C279,host!F:O,9,0)</f>
        <v>#N/A</v>
      </c>
      <c r="H279" t="e">
        <f t="shared" si="17"/>
        <v>#N/A</v>
      </c>
      <c r="I279" t="e">
        <f t="shared" si="18"/>
        <v>#N/A</v>
      </c>
      <c r="J279" t="e">
        <f t="shared" si="19"/>
        <v>#N/A</v>
      </c>
    </row>
    <row r="280" spans="1:10">
      <c r="A280" t="s">
        <v>636</v>
      </c>
      <c r="B280" t="s">
        <v>637</v>
      </c>
      <c r="C280" t="s">
        <v>71</v>
      </c>
      <c r="D280">
        <v>129656.82900812245</v>
      </c>
      <c r="E280">
        <v>10105.474125595016</v>
      </c>
      <c r="F280" s="22">
        <f t="shared" si="16"/>
        <v>7.7940160984208168E-2</v>
      </c>
      <c r="G280" t="e">
        <f>VLOOKUP(C280,host!F:O,9,0)</f>
        <v>#N/A</v>
      </c>
      <c r="H280" t="e">
        <f t="shared" si="17"/>
        <v>#N/A</v>
      </c>
      <c r="I280" t="e">
        <f t="shared" si="18"/>
        <v>#N/A</v>
      </c>
      <c r="J280" t="e">
        <f t="shared" si="19"/>
        <v>#N/A</v>
      </c>
    </row>
    <row r="281" spans="1:10">
      <c r="A281" t="s">
        <v>638</v>
      </c>
      <c r="B281" t="s">
        <v>639</v>
      </c>
      <c r="C281" t="s">
        <v>71</v>
      </c>
      <c r="D281">
        <v>129656.82900812245</v>
      </c>
      <c r="E281">
        <v>67327.214280792818</v>
      </c>
      <c r="F281" s="22">
        <f t="shared" si="16"/>
        <v>0.51927241161030591</v>
      </c>
      <c r="G281" t="e">
        <f>VLOOKUP(C281,host!F:O,9,0)</f>
        <v>#N/A</v>
      </c>
      <c r="H281" t="e">
        <f t="shared" si="17"/>
        <v>#N/A</v>
      </c>
      <c r="I281" t="e">
        <f t="shared" si="18"/>
        <v>#N/A</v>
      </c>
      <c r="J281" t="e">
        <f t="shared" si="19"/>
        <v>#N/A</v>
      </c>
    </row>
    <row r="282" spans="1:10">
      <c r="A282" t="s">
        <v>640</v>
      </c>
      <c r="B282" t="s">
        <v>641</v>
      </c>
      <c r="C282" t="s">
        <v>74</v>
      </c>
      <c r="D282">
        <v>23100.807762594028</v>
      </c>
      <c r="E282">
        <v>23100.807762594028</v>
      </c>
      <c r="F282" s="22">
        <f t="shared" si="16"/>
        <v>1</v>
      </c>
      <c r="G282" t="e">
        <f>VLOOKUP(C282,host!F:O,9,0)</f>
        <v>#N/A</v>
      </c>
      <c r="H282" t="e">
        <f t="shared" si="17"/>
        <v>#N/A</v>
      </c>
      <c r="I282" t="e">
        <f t="shared" si="18"/>
        <v>#N/A</v>
      </c>
      <c r="J282" t="e">
        <f t="shared" si="19"/>
        <v>#N/A</v>
      </c>
    </row>
    <row r="283" spans="1:10">
      <c r="A283" t="s">
        <v>642</v>
      </c>
      <c r="B283" t="s">
        <v>643</v>
      </c>
      <c r="C283" t="s">
        <v>71</v>
      </c>
      <c r="D283">
        <v>129656.82900812245</v>
      </c>
      <c r="E283">
        <v>338.26186819834118</v>
      </c>
      <c r="F283" s="22">
        <f t="shared" si="16"/>
        <v>2.608901288008135E-3</v>
      </c>
      <c r="G283" t="e">
        <f>VLOOKUP(C283,host!F:O,9,0)</f>
        <v>#N/A</v>
      </c>
      <c r="H283" t="e">
        <f t="shared" si="17"/>
        <v>#N/A</v>
      </c>
      <c r="I283" t="e">
        <f t="shared" si="18"/>
        <v>#N/A</v>
      </c>
      <c r="J283" t="e">
        <f t="shared" si="19"/>
        <v>#N/A</v>
      </c>
    </row>
    <row r="284" spans="1:10">
      <c r="A284" t="s">
        <v>644</v>
      </c>
      <c r="B284" t="s">
        <v>645</v>
      </c>
      <c r="C284" t="s">
        <v>72</v>
      </c>
      <c r="D284">
        <v>56344.842332706779</v>
      </c>
      <c r="E284">
        <v>31966.533422457062</v>
      </c>
      <c r="F284" s="22">
        <f t="shared" si="16"/>
        <v>0.56733734799895397</v>
      </c>
      <c r="G284" t="e">
        <f>VLOOKUP(C284,host!F:O,9,0)</f>
        <v>#N/A</v>
      </c>
      <c r="H284" t="e">
        <f t="shared" si="17"/>
        <v>#N/A</v>
      </c>
      <c r="I284" t="e">
        <f t="shared" si="18"/>
        <v>#N/A</v>
      </c>
      <c r="J284" t="e">
        <f t="shared" si="19"/>
        <v>#N/A</v>
      </c>
    </row>
    <row r="285" spans="1:10">
      <c r="A285" t="s">
        <v>646</v>
      </c>
      <c r="B285" t="s">
        <v>647</v>
      </c>
      <c r="C285" t="s">
        <v>73</v>
      </c>
      <c r="D285">
        <v>75396.885147217021</v>
      </c>
      <c r="E285">
        <v>46532.166369161838</v>
      </c>
      <c r="F285" s="22">
        <f t="shared" si="16"/>
        <v>0.6171629806497303</v>
      </c>
      <c r="G285" t="e">
        <f>VLOOKUP(C285,host!F:O,9,0)</f>
        <v>#N/A</v>
      </c>
      <c r="H285" t="e">
        <f t="shared" si="17"/>
        <v>#N/A</v>
      </c>
      <c r="I285" t="e">
        <f t="shared" si="18"/>
        <v>#N/A</v>
      </c>
      <c r="J285" t="e">
        <f t="shared" si="19"/>
        <v>#N/A</v>
      </c>
    </row>
    <row r="286" spans="1:10">
      <c r="A286" t="s">
        <v>648</v>
      </c>
      <c r="B286" t="s">
        <v>649</v>
      </c>
      <c r="C286" t="s">
        <v>75</v>
      </c>
      <c r="D286">
        <v>85219.581212524703</v>
      </c>
      <c r="E286">
        <v>42342.144907548471</v>
      </c>
      <c r="F286" s="22">
        <f t="shared" si="16"/>
        <v>0.49685934036631307</v>
      </c>
      <c r="G286" t="e">
        <f>VLOOKUP(C286,host!F:O,9,0)</f>
        <v>#N/A</v>
      </c>
      <c r="H286" t="e">
        <f t="shared" si="17"/>
        <v>#N/A</v>
      </c>
      <c r="I286" t="e">
        <f t="shared" si="18"/>
        <v>#N/A</v>
      </c>
      <c r="J286" t="e">
        <f t="shared" si="19"/>
        <v>#N/A</v>
      </c>
    </row>
    <row r="287" spans="1:10">
      <c r="A287" t="s">
        <v>650</v>
      </c>
      <c r="B287" t="s">
        <v>651</v>
      </c>
      <c r="C287" t="s">
        <v>71</v>
      </c>
      <c r="D287">
        <v>129656.82900812245</v>
      </c>
      <c r="E287">
        <v>5393.6057319800948</v>
      </c>
      <c r="F287" s="22">
        <f t="shared" si="16"/>
        <v>4.1599087169116311E-2</v>
      </c>
      <c r="G287" t="e">
        <f>VLOOKUP(C287,host!F:O,9,0)</f>
        <v>#N/A</v>
      </c>
      <c r="H287" t="e">
        <f t="shared" si="17"/>
        <v>#N/A</v>
      </c>
      <c r="I287" t="e">
        <f t="shared" si="18"/>
        <v>#N/A</v>
      </c>
      <c r="J287" t="e">
        <f t="shared" si="19"/>
        <v>#N/A</v>
      </c>
    </row>
    <row r="288" spans="1:10">
      <c r="A288" t="s">
        <v>652</v>
      </c>
      <c r="B288" t="s">
        <v>653</v>
      </c>
      <c r="C288" t="s">
        <v>75</v>
      </c>
      <c r="D288">
        <v>85219.581212524703</v>
      </c>
      <c r="E288">
        <v>20622.441647706226</v>
      </c>
      <c r="F288" s="22">
        <f t="shared" si="16"/>
        <v>0.24199182106137071</v>
      </c>
      <c r="G288" t="e">
        <f>VLOOKUP(C288,host!F:O,9,0)</f>
        <v>#N/A</v>
      </c>
      <c r="H288" t="e">
        <f t="shared" si="17"/>
        <v>#N/A</v>
      </c>
      <c r="I288" t="e">
        <f t="shared" si="18"/>
        <v>#N/A</v>
      </c>
      <c r="J288" t="e">
        <f t="shared" si="19"/>
        <v>#N/A</v>
      </c>
    </row>
    <row r="289" spans="1:10">
      <c r="A289" t="s">
        <v>654</v>
      </c>
      <c r="B289" t="s">
        <v>655</v>
      </c>
      <c r="C289" t="s">
        <v>75</v>
      </c>
      <c r="D289">
        <v>85219.581212524703</v>
      </c>
      <c r="E289">
        <v>8872.1183833932882</v>
      </c>
      <c r="F289" s="22">
        <f t="shared" si="16"/>
        <v>0.10410891789373584</v>
      </c>
      <c r="G289" t="e">
        <f>VLOOKUP(C289,host!F:O,9,0)</f>
        <v>#N/A</v>
      </c>
      <c r="H289" t="e">
        <f t="shared" si="17"/>
        <v>#N/A</v>
      </c>
      <c r="I289" t="e">
        <f t="shared" si="18"/>
        <v>#N/A</v>
      </c>
      <c r="J289" t="e">
        <f t="shared" si="19"/>
        <v>#N/A</v>
      </c>
    </row>
    <row r="290" spans="1:10">
      <c r="A290" t="s">
        <v>656</v>
      </c>
      <c r="B290" t="s">
        <v>657</v>
      </c>
      <c r="C290" t="s">
        <v>75</v>
      </c>
      <c r="D290">
        <v>85219.581212524703</v>
      </c>
      <c r="E290">
        <v>13382.876273876691</v>
      </c>
      <c r="F290" s="22">
        <f t="shared" si="16"/>
        <v>0.15703992067858005</v>
      </c>
      <c r="G290" t="e">
        <f>VLOOKUP(C290,host!F:O,9,0)</f>
        <v>#N/A</v>
      </c>
      <c r="H290" t="e">
        <f t="shared" si="17"/>
        <v>#N/A</v>
      </c>
      <c r="I290" t="e">
        <f t="shared" si="18"/>
        <v>#N/A</v>
      </c>
      <c r="J290" t="e">
        <f t="shared" si="19"/>
        <v>#N/A</v>
      </c>
    </row>
    <row r="291" spans="1:10">
      <c r="A291" t="s">
        <v>658</v>
      </c>
      <c r="B291" t="s">
        <v>659</v>
      </c>
      <c r="C291" t="s">
        <v>42</v>
      </c>
      <c r="D291">
        <v>567124.34587405447</v>
      </c>
      <c r="E291">
        <v>63304.066523319132</v>
      </c>
      <c r="F291" s="22">
        <f t="shared" si="16"/>
        <v>0.11162290419000552</v>
      </c>
      <c r="G291" t="e">
        <f>VLOOKUP(C291,host!F:O,9,0)</f>
        <v>#N/A</v>
      </c>
      <c r="H291" t="e">
        <f t="shared" si="17"/>
        <v>#N/A</v>
      </c>
      <c r="I291" t="e">
        <f t="shared" si="18"/>
        <v>#N/A</v>
      </c>
      <c r="J291" t="e">
        <f t="shared" si="19"/>
        <v>#N/A</v>
      </c>
    </row>
    <row r="292" spans="1:10">
      <c r="A292" t="s">
        <v>660</v>
      </c>
      <c r="B292" t="s">
        <v>661</v>
      </c>
      <c r="C292" t="s">
        <v>63</v>
      </c>
      <c r="D292">
        <v>178276.64078654343</v>
      </c>
      <c r="E292">
        <v>19519.697441716242</v>
      </c>
      <c r="F292" s="22">
        <f t="shared" si="16"/>
        <v>0.10949105477642372</v>
      </c>
      <c r="G292" t="e">
        <f>VLOOKUP(C292,host!F:O,9,0)</f>
        <v>#N/A</v>
      </c>
      <c r="H292" t="e">
        <f t="shared" si="17"/>
        <v>#N/A</v>
      </c>
      <c r="I292" t="e">
        <f t="shared" si="18"/>
        <v>#N/A</v>
      </c>
      <c r="J292" t="e">
        <f t="shared" si="19"/>
        <v>#N/A</v>
      </c>
    </row>
    <row r="293" spans="1:10">
      <c r="A293" t="s">
        <v>662</v>
      </c>
      <c r="B293" t="s">
        <v>663</v>
      </c>
      <c r="C293" t="s">
        <v>63</v>
      </c>
      <c r="D293">
        <v>178276.64078654343</v>
      </c>
      <c r="E293">
        <v>9451.2902012757459</v>
      </c>
      <c r="F293" s="22">
        <f t="shared" si="16"/>
        <v>5.3014742478752958E-2</v>
      </c>
      <c r="G293" t="e">
        <f>VLOOKUP(C293,host!F:O,9,0)</f>
        <v>#N/A</v>
      </c>
      <c r="H293" t="e">
        <f t="shared" si="17"/>
        <v>#N/A</v>
      </c>
      <c r="I293" t="e">
        <f t="shared" si="18"/>
        <v>#N/A</v>
      </c>
      <c r="J293" t="e">
        <f t="shared" si="19"/>
        <v>#N/A</v>
      </c>
    </row>
    <row r="294" spans="1:10">
      <c r="A294" t="s">
        <v>664</v>
      </c>
      <c r="B294" t="s">
        <v>665</v>
      </c>
      <c r="C294" t="s">
        <v>70</v>
      </c>
      <c r="D294">
        <v>494996.35413218429</v>
      </c>
      <c r="E294">
        <v>49075.721697686167</v>
      </c>
      <c r="F294" s="22">
        <f t="shared" si="16"/>
        <v>9.9143602347788087E-2</v>
      </c>
      <c r="G294" t="e">
        <f>VLOOKUP(C294,host!F:O,9,0)</f>
        <v>#N/A</v>
      </c>
      <c r="H294" t="e">
        <f t="shared" si="17"/>
        <v>#N/A</v>
      </c>
      <c r="I294" t="e">
        <f t="shared" si="18"/>
        <v>#N/A</v>
      </c>
      <c r="J294" t="e">
        <f t="shared" si="19"/>
        <v>#N/A</v>
      </c>
    </row>
    <row r="295" spans="1:10">
      <c r="A295" t="s">
        <v>666</v>
      </c>
      <c r="B295" t="s">
        <v>667</v>
      </c>
      <c r="C295" t="s">
        <v>66</v>
      </c>
      <c r="D295">
        <v>190201.082351811</v>
      </c>
      <c r="E295">
        <v>30433.590370318652</v>
      </c>
      <c r="F295" s="22">
        <f t="shared" si="16"/>
        <v>0.16000745103030628</v>
      </c>
      <c r="G295" t="e">
        <f>VLOOKUP(C295,host!F:O,9,0)</f>
        <v>#N/A</v>
      </c>
      <c r="H295" t="e">
        <f t="shared" si="17"/>
        <v>#N/A</v>
      </c>
      <c r="I295" t="e">
        <f t="shared" si="18"/>
        <v>#N/A</v>
      </c>
      <c r="J295" t="e">
        <f t="shared" si="19"/>
        <v>#N/A</v>
      </c>
    </row>
    <row r="296" spans="1:10">
      <c r="A296" t="s">
        <v>668</v>
      </c>
      <c r="B296" t="s">
        <v>669</v>
      </c>
      <c r="C296" t="s">
        <v>66</v>
      </c>
      <c r="D296">
        <v>190201.082351811</v>
      </c>
      <c r="E296">
        <v>24409.712090063167</v>
      </c>
      <c r="F296" s="22">
        <f t="shared" si="16"/>
        <v>0.12833634692421481</v>
      </c>
      <c r="G296" t="e">
        <f>VLOOKUP(C296,host!F:O,9,0)</f>
        <v>#N/A</v>
      </c>
      <c r="H296" t="e">
        <f t="shared" si="17"/>
        <v>#N/A</v>
      </c>
      <c r="I296" t="e">
        <f t="shared" si="18"/>
        <v>#N/A</v>
      </c>
      <c r="J296" t="e">
        <f t="shared" si="19"/>
        <v>#N/A</v>
      </c>
    </row>
    <row r="297" spans="1:10">
      <c r="A297" t="s">
        <v>670</v>
      </c>
      <c r="B297" t="s">
        <v>671</v>
      </c>
      <c r="C297" t="s">
        <v>66</v>
      </c>
      <c r="D297">
        <v>190201.082351811</v>
      </c>
      <c r="E297">
        <v>11704.139795900854</v>
      </c>
      <c r="F297" s="22">
        <f t="shared" si="16"/>
        <v>6.153561089758653E-2</v>
      </c>
      <c r="G297" t="e">
        <f>VLOOKUP(C297,host!F:O,9,0)</f>
        <v>#N/A</v>
      </c>
      <c r="H297" t="e">
        <f t="shared" si="17"/>
        <v>#N/A</v>
      </c>
      <c r="I297" t="e">
        <f t="shared" si="18"/>
        <v>#N/A</v>
      </c>
      <c r="J297" t="e">
        <f t="shared" si="19"/>
        <v>#N/A</v>
      </c>
    </row>
    <row r="298" spans="1:10">
      <c r="A298" t="s">
        <v>672</v>
      </c>
      <c r="B298" t="s">
        <v>673</v>
      </c>
      <c r="C298" t="s">
        <v>69</v>
      </c>
      <c r="D298">
        <v>94309.246795786719</v>
      </c>
      <c r="E298">
        <v>12525.247179465205</v>
      </c>
      <c r="F298" s="22">
        <f t="shared" si="16"/>
        <v>0.13281038291597058</v>
      </c>
      <c r="G298" t="e">
        <f>VLOOKUP(C298,host!F:O,9,0)</f>
        <v>#N/A</v>
      </c>
      <c r="H298" t="e">
        <f t="shared" si="17"/>
        <v>#N/A</v>
      </c>
      <c r="I298" t="e">
        <f t="shared" si="18"/>
        <v>#N/A</v>
      </c>
      <c r="J298" t="e">
        <f t="shared" si="19"/>
        <v>#N/A</v>
      </c>
    </row>
    <row r="299" spans="1:10">
      <c r="A299" t="s">
        <v>674</v>
      </c>
      <c r="B299" t="s">
        <v>675</v>
      </c>
      <c r="C299" t="s">
        <v>70</v>
      </c>
      <c r="D299">
        <v>494996.35413218429</v>
      </c>
      <c r="E299">
        <v>180743.03070467032</v>
      </c>
      <c r="F299" s="22">
        <f t="shared" si="16"/>
        <v>0.36514012516626443</v>
      </c>
      <c r="G299" t="e">
        <f>VLOOKUP(C299,host!F:O,9,0)</f>
        <v>#N/A</v>
      </c>
      <c r="H299" t="e">
        <f t="shared" si="17"/>
        <v>#N/A</v>
      </c>
      <c r="I299" t="e">
        <f t="shared" si="18"/>
        <v>#N/A</v>
      </c>
      <c r="J299" t="e">
        <f t="shared" si="19"/>
        <v>#N/A</v>
      </c>
    </row>
    <row r="300" spans="1:10">
      <c r="A300" t="s">
        <v>676</v>
      </c>
      <c r="B300" t="s">
        <v>677</v>
      </c>
      <c r="C300" t="s">
        <v>70</v>
      </c>
      <c r="D300">
        <v>494996.35413218429</v>
      </c>
      <c r="E300">
        <v>28154.821729721894</v>
      </c>
      <c r="F300" s="22">
        <f t="shared" si="16"/>
        <v>5.6878846671673471E-2</v>
      </c>
      <c r="G300" t="e">
        <f>VLOOKUP(C300,host!F:O,9,0)</f>
        <v>#N/A</v>
      </c>
      <c r="H300" t="e">
        <f t="shared" si="17"/>
        <v>#N/A</v>
      </c>
      <c r="I300" t="e">
        <f t="shared" si="18"/>
        <v>#N/A</v>
      </c>
      <c r="J300" t="e">
        <f t="shared" si="19"/>
        <v>#N/A</v>
      </c>
    </row>
  </sheetData>
  <autoFilter ref="A1:J300" xr:uid="{006C96BE-9F2F-4E28-A48A-7187E12DD7A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B5BF8B0F90A143B1A4ACAD04008153" ma:contentTypeVersion="15" ma:contentTypeDescription="Create a new document." ma:contentTypeScope="" ma:versionID="ada0274d0d067bbbdece3301958c05ce">
  <xsd:schema xmlns:xsd="http://www.w3.org/2001/XMLSchema" xmlns:xs="http://www.w3.org/2001/XMLSchema" xmlns:p="http://schemas.microsoft.com/office/2006/metadata/properties" xmlns:ns2="30973102-2308-455b-8e1f-b6a90edc3b23" xmlns:ns3="947c1918-d5ab-48a1-8b61-0d52f2f99fd1" targetNamespace="http://schemas.microsoft.com/office/2006/metadata/properties" ma:root="true" ma:fieldsID="1f05eaaac1f596f0cf4554f8e9f637ce" ns2:_="" ns3:_="">
    <xsd:import namespace="30973102-2308-455b-8e1f-b6a90edc3b23"/>
    <xsd:import namespace="947c1918-d5ab-48a1-8b61-0d52f2f99f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973102-2308-455b-8e1f-b6a90edc3b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4d06f0b5-5743-41f2-90d3-b12c8ffc7f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7c1918-d5ab-48a1-8b61-0d52f2f99fd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af5bdda-bc47-491d-9935-b3e42d5c0ae4}" ma:internalName="TaxCatchAll" ma:showField="CatchAllData" ma:web="947c1918-d5ab-48a1-8b61-0d52f2f99f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973102-2308-455b-8e1f-b6a90edc3b23">
      <Terms xmlns="http://schemas.microsoft.com/office/infopath/2007/PartnerControls"/>
    </lcf76f155ced4ddcb4097134ff3c332f>
    <TaxCatchAll xmlns="947c1918-d5ab-48a1-8b61-0d52f2f99fd1" xsi:nil="true"/>
  </documentManagement>
</p:properties>
</file>

<file path=customXml/itemProps1.xml><?xml version="1.0" encoding="utf-8"?>
<ds:datastoreItem xmlns:ds="http://schemas.openxmlformats.org/officeDocument/2006/customXml" ds:itemID="{160C0A90-FBE3-491F-B395-4BBADE3858F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AB34A41-93EF-4D7F-B9D3-AEC39B9C0FB6}"/>
</file>

<file path=customXml/itemProps3.xml><?xml version="1.0" encoding="utf-8"?>
<ds:datastoreItem xmlns:ds="http://schemas.openxmlformats.org/officeDocument/2006/customXml" ds:itemID="{F12BF303-C4CF-4CE8-844C-2C0D23E9AB24}">
  <ds:schemaRefs>
    <ds:schemaRef ds:uri="http://schemas.microsoft.com/office/2006/metadata/properties"/>
    <ds:schemaRef ds:uri="http://schemas.microsoft.com/office/infopath/2007/PartnerControls"/>
    <ds:schemaRef ds:uri="f7182475-0223-4c18-9d1e-85c2871bd879"/>
    <ds:schemaRef ds:uri="http://schemas.microsoft.com/sharepoint/v3"/>
    <ds:schemaRef ds:uri="7cf032eb-13ef-43f9-8b6c-22c602005c07"/>
    <ds:schemaRef ds:uri="5e0d90c9-6346-472f-835a-3efdb772706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Parametres</vt:lpstr>
      <vt:lpstr>host</vt:lpstr>
      <vt:lpstr>IDP</vt:lpstr>
      <vt:lpstr>ret</vt:lpstr>
      <vt:lpstr>ref</vt:lpstr>
      <vt:lpstr>sampling ZME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Yams Bindje</dc:creator>
  <cp:keywords/>
  <dc:description/>
  <cp:lastModifiedBy>Yam's BINDJE</cp:lastModifiedBy>
  <cp:revision/>
  <dcterms:created xsi:type="dcterms:W3CDTF">2021-03-19T09:37:14Z</dcterms:created>
  <dcterms:modified xsi:type="dcterms:W3CDTF">2026-08-20T15:27:13Z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0x01010064B5BF8B0F90A143B1A4ACAD04008153</vt:lpwstr>
  </property>
  <property fmtid="{D5CDD505-2E9C-101B-9397-08002B2CF9AE}" pid="3" name="MediaServiceImageTags">
    <vt:lpwstr/>
  </property>
</Properties>
</file>