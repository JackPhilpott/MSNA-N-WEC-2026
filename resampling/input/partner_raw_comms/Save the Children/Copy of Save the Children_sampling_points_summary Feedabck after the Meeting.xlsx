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cted.sharepoint.com/sites/IMPACTNGA/Documents partages/General/01. NGA IMPACT Mission Files/2025-2026/04 ECHO HIP 2026/02. MSNA/4. Data/MSNA N-WEC 2026/1_sampling/resampling/input/partner_raw_comms/Save the Children/"/>
    </mc:Choice>
  </mc:AlternateContent>
  <xr:revisionPtr revIDLastSave="0" documentId="8_{D9AB2C74-BBC9-42F7-932D-C3B8A45D131E}" xr6:coauthVersionLast="47" xr6:coauthVersionMax="47" xr10:uidLastSave="{00000000-0000-0000-0000-000000000000}"/>
  <bookViews>
    <workbookView xWindow="28680" yWindow="-60" windowWidth="29040" windowHeight="15720" activeTab="1" xr2:uid="{00000000-000D-0000-FFFF-FFFF00000000}"/>
  </bookViews>
  <sheets>
    <sheet name="README" sheetId="1" r:id="rId1"/>
    <sheet name="Pivot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5" l="1"/>
  <c r="E60" i="5"/>
  <c r="D60" i="5"/>
  <c r="C60" i="5"/>
  <c r="F60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F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F37" i="5"/>
  <c r="E37" i="5"/>
  <c r="D37" i="5"/>
  <c r="C37" i="5"/>
  <c r="G36" i="5"/>
  <c r="G34" i="5"/>
  <c r="G33" i="5"/>
  <c r="G32" i="5"/>
  <c r="G31" i="5"/>
  <c r="G30" i="5"/>
  <c r="G29" i="5"/>
  <c r="G28" i="5"/>
  <c r="G27" i="5"/>
  <c r="G35" i="5"/>
  <c r="G37" i="5" l="1"/>
  <c r="G60" i="5"/>
  <c r="G20" i="5"/>
  <c r="E20" i="5"/>
  <c r="D20" i="5"/>
  <c r="C20" i="5"/>
</calcChain>
</file>

<file path=xl/sharedStrings.xml><?xml version="1.0" encoding="utf-8"?>
<sst xmlns="http://schemas.openxmlformats.org/spreadsheetml/2006/main" count="145" uniqueCount="116">
  <si>
    <t>Save the Children - NGA MSNA 2026 sampling points summary</t>
  </si>
  <si>
    <t>Every GPS sampling point assigned to this partner, across all covered LGAs. See the 'Sampling Points' sheet for the full row-level table; this sheet gives definitions and a per-LGA target-sample summary.</t>
  </si>
  <si>
    <t>Point Type definitions</t>
  </si>
  <si>
    <t>Non-IDP household (primary)</t>
  </si>
  <si>
    <t>One planned primary household interview, drawn from an eligible building footprint within a selected Non-IDP cluster. One row = one interview.</t>
  </si>
  <si>
    <t>Non-IDP household (reserve)</t>
  </si>
  <si>
    <t>A ranked backup household for a Non-IDP cluster, used strictly in rank order (Sequence column) whenever a primary household can't be reached or declines. Reserve list size normally matches the primary target exactly for that cluster (including for combined-draw clusters with a larger-than-standard target) - except where the eligible building pool is smaller than the target, in which case reserve is capped by whatever's left in the pool, down to zero for the smallest clusters. A cluster with zero reserve households has no backup on the list - if its primary household is unreachable or declines, there is no replacement.</t>
  </si>
  <si>
    <t>IDP cluster (Tier 1 primary)</t>
  </si>
  <si>
    <t>One row per IDP cluster (not per interview) - the site's primary GPS point, used for Tier 1 (full household listing on arrival). 'Target HHs (primary)' / 'Reserve HHs' give that cluster's planned interview and reserve counts.</t>
  </si>
  <si>
    <t>IDP Tier 2 backup point</t>
  </si>
  <si>
    <t>In-camp clusters only - a second, pre-assigned GPS point for the Tier 2 random-walk fallback, used ONLY if Tier 1 full listing proves infeasible on arrival. Not a corrected or alternate primary location. Host-community IDP clusters have no Tier 2 (they use chief/head-of-settlement listing instead, with no walk fallback).</t>
  </si>
  <si>
    <t>A note on LGA vs Ward data sources</t>
  </si>
  <si>
    <t>LGA (State/LGA columns) is sourced from OCHA/COD, the officially-endorsed boundary dataset, and is authoritative throughout this assessment. Ward detail is sourced from GRID3 - the only admin-3 product with national coverage, used to supplement ward-level detail (for North-East clusters, OCHA/COD's own official ward product is also shown separately - see 'Ward (OCHA/COD)' column). GRID3's ward polygons carry their own embedded LGA label, and at a number of LGA borders that embedded label disagrees with the official OCHA/COD line - by as little as a few tens of metres. If you look up a point's ward within the GRID3 dataset yourself and find its implied LGA differs from the LGA column shown here, this is that same known discrepancy, not an error - OCHA/COD remains the LGA of record. If your team identifies more strongly with a different LGA in the field, please flag it to your FACT Foundation/IMPACT Initiatives focal point with the specific point(s); we track these case by case.</t>
  </si>
  <si>
    <t>Other column notes</t>
  </si>
  <si>
    <t>LGA</t>
  </si>
  <si>
    <t>Sourced from OCHA/COD (nga_admin2), the officially-endorsed humanitarian administrative boundary dataset. This is the authoritative LGA source throughout this assessment - see 'A note on LGA vs Ward data sources' below.</t>
  </si>
  <si>
    <t>Ward (GRID3)</t>
  </si>
  <si>
    <t>Sourced from GRID3, the only ward-level (admin-3) boundary product with national coverage. Used to supplement ward detail - never as a substitute for the LGA column's OCHA/COD source. See 'A note on LGA vs Ward data sources' below.</t>
  </si>
  <si>
    <t>Ward (OCHA/COD)</t>
  </si>
  <si>
    <t>North-East states only (Borno/Adamawa/Yobe) - OCHA/COD's own official admin-3 product, shown alongside Ward (GRID3) for cross-reference. Blank for North-West/North-Central points, where OCHA/COD publishes no ward product at all.</t>
  </si>
  <si>
    <t>Status / Sequence</t>
  </si>
  <si>
    <t>For Non-IDP rows: Primary/Reserve plus the household's rank (#1, #2, ... within that cluster's primary or reserve list). For IDP primary rows: always 'Primary' (the row represents the whole cluster). For Tier 2 rows: always 'Tier 2 backup'.</t>
  </si>
  <si>
    <t>Building ID / Confidence</t>
  </si>
  <si>
    <t>Non-IDP only - the source Google Open Buildings footprint ID and its detection-confidence score (0-1) backing that household point.</t>
  </si>
  <si>
    <t>IDP Category</t>
  </si>
  <si>
    <t>In-camp or In-host - which of the two IDP field methods applies (Section 3 of the methodology doc). In-host sites have no Site Radius or Tier 2 backup point.</t>
  </si>
  <si>
    <t>Site Radius (m)</t>
  </si>
  <si>
    <t>In-camp only, and only for a subset of sites where a real camp extent was delineated or a fixed-radius fallback applied - NA where the concept doesn't apply (most in-camp sites use 'visible camp extent' with no fixed radius; host-community listing is never radius-bound).</t>
  </si>
  <si>
    <t>Target HHs (primary) / Reserve HHs</t>
  </si>
  <si>
    <t>IDP cluster rows only - the total number of primary interviews and reserve (backup) households planned for that specific cluster.</t>
  </si>
  <si>
    <t>Targeted sample per State / LGA</t>
  </si>
  <si>
    <t>State</t>
  </si>
  <si>
    <t>Non-IDP target sample</t>
  </si>
  <si>
    <t>Non-IDP reserve</t>
  </si>
  <si>
    <t>IDP clusters</t>
  </si>
  <si>
    <t>IDP target sample</t>
  </si>
  <si>
    <t>IDP reserve</t>
  </si>
  <si>
    <t>Total target sample</t>
  </si>
  <si>
    <t>Benue</t>
  </si>
  <si>
    <t>Kwande</t>
  </si>
  <si>
    <t>Katsina</t>
  </si>
  <si>
    <t>Mai'adua</t>
  </si>
  <si>
    <t>Zango</t>
  </si>
  <si>
    <t>Zamfara</t>
  </si>
  <si>
    <t>Bungudu</t>
  </si>
  <si>
    <t>TOTAL</t>
  </si>
  <si>
    <t>Primary</t>
  </si>
  <si>
    <t>Reserve</t>
  </si>
  <si>
    <t>Mai'adua A</t>
  </si>
  <si>
    <t>Ubandawaki A</t>
  </si>
  <si>
    <t>Bamle</t>
  </si>
  <si>
    <t>Gallu</t>
  </si>
  <si>
    <t>Danyashe</t>
  </si>
  <si>
    <t>Maikoni B</t>
  </si>
  <si>
    <t>Natsalle</t>
  </si>
  <si>
    <t>Koza</t>
  </si>
  <si>
    <t>Maikoni A</t>
  </si>
  <si>
    <t>Ubandawaki B</t>
  </si>
  <si>
    <t>Sabon Gari</t>
  </si>
  <si>
    <t>Bumbum B</t>
  </si>
  <si>
    <t>Bumbum A</t>
  </si>
  <si>
    <t>Mai'adua C</t>
  </si>
  <si>
    <t>Dargage</t>
  </si>
  <si>
    <t>Rogogo</t>
  </si>
  <si>
    <t>K Malamai</t>
  </si>
  <si>
    <t>Kanda</t>
  </si>
  <si>
    <t>Gwamba</t>
  </si>
  <si>
    <t>Kawarin Kudi</t>
  </si>
  <si>
    <t>Garni</t>
  </si>
  <si>
    <t>Sara</t>
  </si>
  <si>
    <t>Fago B</t>
  </si>
  <si>
    <t>Maibara</t>
  </si>
  <si>
    <t>Bela Rawaiya</t>
  </si>
  <si>
    <t>Samawa</t>
  </si>
  <si>
    <t>Kotorkoshi</t>
  </si>
  <si>
    <t>Furfuri Kwaikwai</t>
  </si>
  <si>
    <t>Gada Karakai</t>
  </si>
  <si>
    <t>Bingi South</t>
  </si>
  <si>
    <t>Nahuche</t>
  </si>
  <si>
    <t>Tofa</t>
  </si>
  <si>
    <t>Sankalawa</t>
  </si>
  <si>
    <t>Ruwan Doruma</t>
  </si>
  <si>
    <t>Mayana</t>
  </si>
  <si>
    <t>Tudun Wada</t>
  </si>
  <si>
    <t>Maru</t>
  </si>
  <si>
    <t>Grand Total</t>
  </si>
  <si>
    <t>Total</t>
  </si>
  <si>
    <t>Ward/Grid 3</t>
  </si>
  <si>
    <t>Maiadua LGA</t>
  </si>
  <si>
    <t>Zango LGA</t>
  </si>
  <si>
    <t>Bungudu LGA</t>
  </si>
  <si>
    <t>IDPs</t>
  </si>
  <si>
    <t xml:space="preserve">Achievement </t>
  </si>
  <si>
    <t>Balance</t>
  </si>
  <si>
    <t>Feedback</t>
  </si>
  <si>
    <t>Remaining Household are insecure area</t>
  </si>
  <si>
    <t>No any point on the map</t>
  </si>
  <si>
    <t>This Mashi LGA not Maiadua and should be remove from the list</t>
  </si>
  <si>
    <t>This Daura LGA not Maiadua and should be remove from the list</t>
  </si>
  <si>
    <t>No IDP In Both Maiadua and Zango LGAs</t>
  </si>
  <si>
    <t>Without the IDPs samples, we are left with 24 sample points to complete the 102 non-IDPs samples</t>
  </si>
  <si>
    <t xml:space="preserve">We need more points from this cluster that are available on the Map, </t>
  </si>
  <si>
    <t>This Sandamu LGA not Zango and should be remove from the list</t>
  </si>
  <si>
    <t>This is Baure LGA not Zango and should be remove from the list</t>
  </si>
  <si>
    <t>We need 63 samples to complete the sample from this LGA</t>
  </si>
  <si>
    <t>We need additional samples here</t>
  </si>
  <si>
    <t>We need additional samples here, as all the 11 points are missing on the map</t>
  </si>
  <si>
    <t>We need additional samples here, as only 6 points are seen and the remainng points are missing on the map</t>
  </si>
  <si>
    <t>Out of 102 non-IDPs, only 41 were achieved, and we need an additional 61 samples to complete the sample</t>
  </si>
  <si>
    <t>Insecurity Ward and should be remove from the list</t>
  </si>
  <si>
    <t>This is Maru LGA not Bungudu and should be remove from the list</t>
  </si>
  <si>
    <t>This is Gusau LGA not Bungudu and should be remove from the list</t>
  </si>
  <si>
    <t>Out of 96 IDPs we achieved 86 and we need the balance of 10</t>
  </si>
  <si>
    <t>4 points are accesible and the remaining are insecure area,</t>
  </si>
  <si>
    <t xml:space="preserve"> We can have more samples here, as this is a secure clusters</t>
  </si>
  <si>
    <t>Only 11 points are on the map, we can have additional points in this cluster because is secure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</si>
</sst>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B2A4A"/>
      <name val="Calibri"/>
    </font>
    <font>
      <i/>
      <sz val="11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FFF2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/>
    <xf numFmtId="0" fontId="4" fillId="3" borderId="0" xfId="0" applyFont="1" applyFill="1"/>
    <xf numFmtId="0" fontId="0" fillId="0" borderId="5" xfId="0" applyBorder="1"/>
    <xf numFmtId="0" fontId="6" fillId="4" borderId="5" xfId="0" applyFont="1" applyFill="1" applyBorder="1"/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6" fillId="4" borderId="4" xfId="0" applyFont="1" applyFill="1" applyBorder="1"/>
    <xf numFmtId="0" fontId="6" fillId="4" borderId="6" xfId="0" applyFont="1" applyFill="1" applyBorder="1"/>
    <xf numFmtId="0" fontId="0" fillId="0" borderId="4" xfId="0" applyBorder="1" applyAlignment="1">
      <alignment horizontal="left"/>
    </xf>
    <xf numFmtId="0" fontId="0" fillId="5" borderId="6" xfId="0" applyFill="1" applyBorder="1"/>
    <xf numFmtId="0" fontId="0" fillId="0" borderId="6" xfId="0" applyBorder="1"/>
    <xf numFmtId="0" fontId="6" fillId="4" borderId="7" xfId="0" applyFont="1" applyFill="1" applyBorder="1" applyAlignment="1">
      <alignment horizontal="left"/>
    </xf>
    <xf numFmtId="0" fontId="6" fillId="4" borderId="8" xfId="0" applyFont="1" applyFill="1" applyBorder="1"/>
    <xf numFmtId="0" fontId="6" fillId="9" borderId="9" xfId="0" applyFont="1" applyFill="1" applyBorder="1" applyAlignment="1">
      <alignment wrapText="1"/>
    </xf>
    <xf numFmtId="0" fontId="0" fillId="8" borderId="5" xfId="0" applyFill="1" applyBorder="1"/>
    <xf numFmtId="0" fontId="0" fillId="0" borderId="1" xfId="0" applyBorder="1"/>
    <xf numFmtId="0" fontId="0" fillId="8" borderId="4" xfId="0" applyFill="1" applyBorder="1" applyAlignment="1">
      <alignment horizontal="left"/>
    </xf>
    <xf numFmtId="0" fontId="0" fillId="8" borderId="6" xfId="0" applyFill="1" applyBorder="1"/>
    <xf numFmtId="0" fontId="0" fillId="0" borderId="6" xfId="0" applyBorder="1" applyAlignment="1">
      <alignment wrapText="1"/>
    </xf>
    <xf numFmtId="0" fontId="6" fillId="5" borderId="9" xfId="0" applyFont="1" applyFill="1" applyBorder="1"/>
    <xf numFmtId="0" fontId="0" fillId="9" borderId="5" xfId="0" applyFill="1" applyBorder="1"/>
    <xf numFmtId="0" fontId="7" fillId="6" borderId="4" xfId="0" applyFont="1" applyFill="1" applyBorder="1"/>
    <xf numFmtId="0" fontId="0" fillId="7" borderId="6" xfId="0" applyFill="1" applyBorder="1"/>
    <xf numFmtId="0" fontId="6" fillId="0" borderId="9" xfId="0" applyFont="1" applyBorder="1" applyAlignment="1">
      <alignment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getSampleSummary" displayName="TargetSampleSummary" ref="A26:H31">
  <autoFilter ref="A26:H31" xr:uid="{00000000-0009-0000-0100-000001000000}"/>
  <tableColumns count="8">
    <tableColumn id="1" xr3:uid="{00000000-0010-0000-0000-000001000000}" name="State"/>
    <tableColumn id="2" xr3:uid="{00000000-0010-0000-0000-000002000000}" name="LGA"/>
    <tableColumn id="3" xr3:uid="{00000000-0010-0000-0000-000003000000}" name="Non-IDP target sample"/>
    <tableColumn id="4" xr3:uid="{00000000-0010-0000-0000-000004000000}" name="Non-IDP reserve"/>
    <tableColumn id="5" xr3:uid="{00000000-0010-0000-0000-000005000000}" name="IDP clusters"/>
    <tableColumn id="6" xr3:uid="{00000000-0010-0000-0000-000006000000}" name="IDP target sample"/>
    <tableColumn id="7" xr3:uid="{00000000-0010-0000-0000-000007000000}" name="IDP reserve"/>
    <tableColumn id="8" xr3:uid="{00000000-0010-0000-0000-000008000000}" name="Total target s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opLeftCell="A19" workbookViewId="0">
      <selection activeCell="A30" sqref="A30:XFD30"/>
    </sheetView>
  </sheetViews>
  <sheetFormatPr defaultRowHeight="14.4" x14ac:dyDescent="0.3"/>
  <cols>
    <col min="1" max="1" width="30" customWidth="1"/>
    <col min="2" max="2" width="31.109375" customWidth="1"/>
    <col min="3" max="8" width="15" customWidth="1"/>
  </cols>
  <sheetData>
    <row r="1" spans="1:2" ht="18" x14ac:dyDescent="0.35">
      <c r="A1" s="1" t="s">
        <v>0</v>
      </c>
    </row>
    <row r="3" spans="1:2" x14ac:dyDescent="0.3">
      <c r="A3" s="2" t="s">
        <v>1</v>
      </c>
    </row>
    <row r="5" spans="1:2" ht="15.6" x14ac:dyDescent="0.3">
      <c r="A5" s="3" t="s">
        <v>2</v>
      </c>
    </row>
    <row r="6" spans="1:2" ht="72" x14ac:dyDescent="0.3">
      <c r="A6" s="4" t="s">
        <v>3</v>
      </c>
      <c r="B6" s="5" t="s">
        <v>4</v>
      </c>
    </row>
    <row r="7" spans="1:2" ht="259.2" x14ac:dyDescent="0.3">
      <c r="A7" s="4" t="s">
        <v>5</v>
      </c>
      <c r="B7" s="5" t="s">
        <v>6</v>
      </c>
    </row>
    <row r="8" spans="1:2" ht="100.8" x14ac:dyDescent="0.3">
      <c r="A8" s="4" t="s">
        <v>7</v>
      </c>
      <c r="B8" s="5" t="s">
        <v>8</v>
      </c>
    </row>
    <row r="9" spans="1:2" ht="129.6" x14ac:dyDescent="0.3">
      <c r="A9" s="4" t="s">
        <v>9</v>
      </c>
      <c r="B9" s="5" t="s">
        <v>10</v>
      </c>
    </row>
    <row r="11" spans="1:2" ht="15.6" x14ac:dyDescent="0.3">
      <c r="A11" s="3" t="s">
        <v>11</v>
      </c>
    </row>
    <row r="12" spans="1:2" ht="130.05000000000001" customHeight="1" x14ac:dyDescent="0.3">
      <c r="A12" s="31" t="s">
        <v>12</v>
      </c>
      <c r="B12" s="32"/>
    </row>
    <row r="14" spans="1:2" ht="15.6" x14ac:dyDescent="0.3">
      <c r="A14" s="3" t="s">
        <v>13</v>
      </c>
    </row>
    <row r="15" spans="1:2" ht="115.2" x14ac:dyDescent="0.3">
      <c r="A15" s="4" t="s">
        <v>14</v>
      </c>
      <c r="B15" s="5" t="s">
        <v>15</v>
      </c>
    </row>
    <row r="16" spans="1:2" ht="100.8" x14ac:dyDescent="0.3">
      <c r="A16" s="4" t="s">
        <v>16</v>
      </c>
      <c r="B16" s="5" t="s">
        <v>17</v>
      </c>
    </row>
    <row r="17" spans="1:8" ht="115.2" x14ac:dyDescent="0.3">
      <c r="A17" s="4" t="s">
        <v>18</v>
      </c>
      <c r="B17" s="5" t="s">
        <v>19</v>
      </c>
    </row>
    <row r="18" spans="1:8" ht="100.8" x14ac:dyDescent="0.3">
      <c r="A18" s="4" t="s">
        <v>20</v>
      </c>
      <c r="B18" s="5" t="s">
        <v>21</v>
      </c>
    </row>
    <row r="19" spans="1:8" ht="57.6" x14ac:dyDescent="0.3">
      <c r="A19" s="4" t="s">
        <v>22</v>
      </c>
      <c r="B19" s="5" t="s">
        <v>23</v>
      </c>
    </row>
    <row r="20" spans="1:8" ht="72" x14ac:dyDescent="0.3">
      <c r="A20" s="4" t="s">
        <v>24</v>
      </c>
      <c r="B20" s="5" t="s">
        <v>25</v>
      </c>
    </row>
    <row r="21" spans="1:8" ht="129.6" x14ac:dyDescent="0.3">
      <c r="A21" s="4" t="s">
        <v>26</v>
      </c>
      <c r="B21" s="5" t="s">
        <v>27</v>
      </c>
    </row>
    <row r="22" spans="1:8" ht="57.6" x14ac:dyDescent="0.3">
      <c r="A22" s="4" t="s">
        <v>28</v>
      </c>
      <c r="B22" s="5" t="s">
        <v>29</v>
      </c>
    </row>
    <row r="25" spans="1:8" ht="15.6" x14ac:dyDescent="0.3">
      <c r="A25" s="3" t="s">
        <v>30</v>
      </c>
    </row>
    <row r="26" spans="1:8" x14ac:dyDescent="0.3">
      <c r="A26" s="6" t="s">
        <v>31</v>
      </c>
      <c r="B26" s="6" t="s">
        <v>14</v>
      </c>
      <c r="C26" s="6" t="s">
        <v>32</v>
      </c>
      <c r="D26" s="6" t="s">
        <v>33</v>
      </c>
      <c r="E26" s="6" t="s">
        <v>34</v>
      </c>
      <c r="F26" s="6" t="s">
        <v>35</v>
      </c>
      <c r="G26" s="6" t="s">
        <v>36</v>
      </c>
      <c r="H26" s="6" t="s">
        <v>37</v>
      </c>
    </row>
    <row r="27" spans="1:8" x14ac:dyDescent="0.3">
      <c r="A27" t="s">
        <v>38</v>
      </c>
      <c r="B27" t="s">
        <v>39</v>
      </c>
      <c r="C27">
        <v>102</v>
      </c>
      <c r="D27">
        <v>100</v>
      </c>
      <c r="E27">
        <v>7</v>
      </c>
      <c r="F27">
        <v>102</v>
      </c>
      <c r="G27">
        <v>102</v>
      </c>
      <c r="H27">
        <v>204</v>
      </c>
    </row>
    <row r="28" spans="1:8" x14ac:dyDescent="0.3">
      <c r="A28" t="s">
        <v>40</v>
      </c>
      <c r="B28" t="s">
        <v>41</v>
      </c>
      <c r="C28">
        <v>102</v>
      </c>
      <c r="D28">
        <v>98</v>
      </c>
      <c r="E28">
        <v>2</v>
      </c>
      <c r="F28">
        <v>60</v>
      </c>
      <c r="G28">
        <v>60</v>
      </c>
      <c r="H28">
        <v>162</v>
      </c>
    </row>
    <row r="29" spans="1:8" x14ac:dyDescent="0.3">
      <c r="A29" t="s">
        <v>40</v>
      </c>
      <c r="B29" t="s">
        <v>42</v>
      </c>
      <c r="C29">
        <v>102</v>
      </c>
      <c r="D29">
        <v>102</v>
      </c>
      <c r="E29">
        <v>0</v>
      </c>
      <c r="F29">
        <v>0</v>
      </c>
      <c r="G29">
        <v>0</v>
      </c>
      <c r="H29">
        <v>102</v>
      </c>
    </row>
    <row r="30" spans="1:8" x14ac:dyDescent="0.3">
      <c r="A30" t="s">
        <v>43</v>
      </c>
      <c r="B30" t="s">
        <v>44</v>
      </c>
      <c r="C30">
        <v>102</v>
      </c>
      <c r="D30">
        <v>102</v>
      </c>
      <c r="E30">
        <v>5</v>
      </c>
      <c r="F30">
        <v>96</v>
      </c>
      <c r="G30">
        <v>96</v>
      </c>
      <c r="H30">
        <v>198</v>
      </c>
    </row>
    <row r="31" spans="1:8" x14ac:dyDescent="0.3">
      <c r="A31" s="4" t="s">
        <v>45</v>
      </c>
      <c r="C31" s="7">
        <v>408</v>
      </c>
      <c r="D31" s="7">
        <v>402</v>
      </c>
      <c r="E31" s="7">
        <v>14</v>
      </c>
      <c r="F31" s="7">
        <v>258</v>
      </c>
      <c r="G31" s="7">
        <v>258</v>
      </c>
      <c r="H31" s="7">
        <v>666</v>
      </c>
    </row>
  </sheetData>
  <mergeCells count="1">
    <mergeCell ref="A12:B1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278E-B3BC-4755-BEA5-25FB96F138FD}">
  <dimension ref="B2:H60"/>
  <sheetViews>
    <sheetView tabSelected="1" zoomScale="120" zoomScaleNormal="120" workbookViewId="0">
      <selection activeCell="G65" sqref="G65"/>
    </sheetView>
  </sheetViews>
  <sheetFormatPr defaultRowHeight="14.4" x14ac:dyDescent="0.3"/>
  <cols>
    <col min="2" max="2" width="15.5546875" customWidth="1"/>
    <col min="3" max="3" width="8.33203125" customWidth="1"/>
    <col min="5" max="5" width="7.77734375" customWidth="1"/>
    <col min="6" max="6" width="12.21875" bestFit="1" customWidth="1"/>
    <col min="8" max="8" width="55.21875" bestFit="1" customWidth="1"/>
  </cols>
  <sheetData>
    <row r="2" spans="2:8" ht="15" thickBot="1" x14ac:dyDescent="0.35"/>
    <row r="3" spans="2:8" x14ac:dyDescent="0.3">
      <c r="B3" s="10" t="s">
        <v>88</v>
      </c>
      <c r="C3" s="11"/>
      <c r="D3" s="11"/>
      <c r="E3" s="11"/>
      <c r="F3" s="11"/>
      <c r="G3" s="11"/>
      <c r="H3" s="12"/>
    </row>
    <row r="4" spans="2:8" x14ac:dyDescent="0.3">
      <c r="B4" s="13" t="s">
        <v>87</v>
      </c>
      <c r="C4" s="9" t="s">
        <v>46</v>
      </c>
      <c r="D4" s="9" t="s">
        <v>47</v>
      </c>
      <c r="E4" s="9" t="s">
        <v>86</v>
      </c>
      <c r="F4" s="9" t="s">
        <v>92</v>
      </c>
      <c r="G4" s="9" t="s">
        <v>93</v>
      </c>
      <c r="H4" s="14" t="s">
        <v>94</v>
      </c>
    </row>
    <row r="5" spans="2:8" x14ac:dyDescent="0.3">
      <c r="B5" s="15" t="s">
        <v>50</v>
      </c>
      <c r="C5" s="8">
        <v>1</v>
      </c>
      <c r="D5" s="8"/>
      <c r="E5" s="8">
        <v>1</v>
      </c>
      <c r="F5" s="8"/>
      <c r="G5" s="8">
        <f t="shared" ref="G5:G19" si="0">C5-F5</f>
        <v>1</v>
      </c>
      <c r="H5" s="16" t="s">
        <v>97</v>
      </c>
    </row>
    <row r="6" spans="2:8" x14ac:dyDescent="0.3">
      <c r="B6" s="15" t="s">
        <v>60</v>
      </c>
      <c r="C6" s="8">
        <v>1</v>
      </c>
      <c r="D6" s="8">
        <v>2</v>
      </c>
      <c r="E6" s="8">
        <v>3</v>
      </c>
      <c r="F6" s="8"/>
      <c r="G6" s="8">
        <f t="shared" si="0"/>
        <v>1</v>
      </c>
      <c r="H6" s="17"/>
    </row>
    <row r="7" spans="2:8" x14ac:dyDescent="0.3">
      <c r="B7" s="15" t="s">
        <v>59</v>
      </c>
      <c r="C7" s="8">
        <v>8</v>
      </c>
      <c r="D7" s="8">
        <v>8</v>
      </c>
      <c r="E7" s="8">
        <v>16</v>
      </c>
      <c r="F7" s="8">
        <v>10</v>
      </c>
      <c r="G7" s="8">
        <f t="shared" si="0"/>
        <v>-2</v>
      </c>
      <c r="H7" s="17"/>
    </row>
    <row r="8" spans="2:8" x14ac:dyDescent="0.3">
      <c r="B8" s="15" t="s">
        <v>52</v>
      </c>
      <c r="C8" s="8">
        <v>20</v>
      </c>
      <c r="D8" s="8">
        <v>14</v>
      </c>
      <c r="E8" s="8">
        <v>34</v>
      </c>
      <c r="F8" s="8">
        <v>22</v>
      </c>
      <c r="G8" s="8">
        <f t="shared" si="0"/>
        <v>-2</v>
      </c>
      <c r="H8" s="17"/>
    </row>
    <row r="9" spans="2:8" x14ac:dyDescent="0.3">
      <c r="B9" s="15" t="s">
        <v>51</v>
      </c>
      <c r="C9" s="8">
        <v>6</v>
      </c>
      <c r="D9" s="8">
        <v>2</v>
      </c>
      <c r="E9" s="8">
        <v>8</v>
      </c>
      <c r="F9" s="8"/>
      <c r="G9" s="8">
        <f t="shared" si="0"/>
        <v>6</v>
      </c>
      <c r="H9" s="16" t="s">
        <v>97</v>
      </c>
    </row>
    <row r="10" spans="2:8" x14ac:dyDescent="0.3">
      <c r="B10" s="15" t="s">
        <v>55</v>
      </c>
      <c r="C10" s="8">
        <v>6</v>
      </c>
      <c r="D10" s="8">
        <v>1</v>
      </c>
      <c r="E10" s="8">
        <v>7</v>
      </c>
      <c r="F10" s="8">
        <v>6</v>
      </c>
      <c r="G10" s="8">
        <f t="shared" si="0"/>
        <v>0</v>
      </c>
      <c r="H10" s="17"/>
    </row>
    <row r="11" spans="2:8" x14ac:dyDescent="0.3">
      <c r="B11" s="15" t="s">
        <v>48</v>
      </c>
      <c r="C11" s="8">
        <v>1</v>
      </c>
      <c r="D11" s="8"/>
      <c r="E11" s="8">
        <v>1</v>
      </c>
      <c r="F11" s="8">
        <v>0</v>
      </c>
      <c r="G11" s="8">
        <f t="shared" si="0"/>
        <v>1</v>
      </c>
      <c r="H11" s="17"/>
    </row>
    <row r="12" spans="2:8" x14ac:dyDescent="0.3">
      <c r="B12" s="15" t="s">
        <v>61</v>
      </c>
      <c r="C12" s="8">
        <v>2</v>
      </c>
      <c r="D12" s="8">
        <v>1</v>
      </c>
      <c r="E12" s="8">
        <v>3</v>
      </c>
      <c r="F12" s="8">
        <v>3</v>
      </c>
      <c r="G12" s="8">
        <f t="shared" si="0"/>
        <v>-1</v>
      </c>
      <c r="H12" s="17"/>
    </row>
    <row r="13" spans="2:8" x14ac:dyDescent="0.3">
      <c r="B13" s="15" t="s">
        <v>56</v>
      </c>
      <c r="C13" s="8">
        <v>16</v>
      </c>
      <c r="D13" s="8">
        <v>21</v>
      </c>
      <c r="E13" s="8">
        <v>37</v>
      </c>
      <c r="F13" s="8">
        <v>10</v>
      </c>
      <c r="G13" s="8">
        <f t="shared" si="0"/>
        <v>6</v>
      </c>
      <c r="H13" s="17" t="s">
        <v>101</v>
      </c>
    </row>
    <row r="14" spans="2:8" x14ac:dyDescent="0.3">
      <c r="B14" s="15" t="s">
        <v>53</v>
      </c>
      <c r="C14" s="8">
        <v>7</v>
      </c>
      <c r="D14" s="8">
        <v>16</v>
      </c>
      <c r="E14" s="8">
        <v>23</v>
      </c>
      <c r="F14" s="8">
        <v>7</v>
      </c>
      <c r="G14" s="8">
        <f t="shared" si="0"/>
        <v>0</v>
      </c>
      <c r="H14" s="17" t="s">
        <v>101</v>
      </c>
    </row>
    <row r="15" spans="2:8" x14ac:dyDescent="0.3">
      <c r="B15" s="15" t="s">
        <v>54</v>
      </c>
      <c r="C15" s="8">
        <v>20</v>
      </c>
      <c r="D15" s="8">
        <v>20</v>
      </c>
      <c r="E15" s="8">
        <v>40</v>
      </c>
      <c r="F15" s="8">
        <v>20</v>
      </c>
      <c r="G15" s="8">
        <f t="shared" si="0"/>
        <v>0</v>
      </c>
      <c r="H15" s="17"/>
    </row>
    <row r="16" spans="2:8" x14ac:dyDescent="0.3">
      <c r="B16" s="15" t="s">
        <v>58</v>
      </c>
      <c r="C16" s="8">
        <v>2</v>
      </c>
      <c r="D16" s="8"/>
      <c r="E16" s="8">
        <v>2</v>
      </c>
      <c r="F16" s="8"/>
      <c r="G16" s="8">
        <f t="shared" si="0"/>
        <v>2</v>
      </c>
      <c r="H16" s="16" t="s">
        <v>98</v>
      </c>
    </row>
    <row r="17" spans="2:8" x14ac:dyDescent="0.3">
      <c r="B17" s="15" t="s">
        <v>49</v>
      </c>
      <c r="C17" s="8">
        <v>13</v>
      </c>
      <c r="D17" s="8">
        <v>12</v>
      </c>
      <c r="E17" s="8">
        <v>25</v>
      </c>
      <c r="F17" s="8"/>
      <c r="G17" s="8">
        <f t="shared" si="0"/>
        <v>13</v>
      </c>
      <c r="H17" s="16" t="s">
        <v>98</v>
      </c>
    </row>
    <row r="18" spans="2:8" x14ac:dyDescent="0.3">
      <c r="B18" s="15" t="s">
        <v>57</v>
      </c>
      <c r="C18" s="8">
        <v>1</v>
      </c>
      <c r="D18" s="8">
        <v>1</v>
      </c>
      <c r="E18" s="8">
        <v>2</v>
      </c>
      <c r="F18" s="8"/>
      <c r="G18" s="8">
        <f t="shared" si="0"/>
        <v>1</v>
      </c>
      <c r="H18" s="16" t="s">
        <v>98</v>
      </c>
    </row>
    <row r="19" spans="2:8" x14ac:dyDescent="0.3">
      <c r="B19" s="15" t="s">
        <v>91</v>
      </c>
      <c r="C19" s="8">
        <v>60</v>
      </c>
      <c r="D19" s="8">
        <v>60</v>
      </c>
      <c r="E19" s="8">
        <v>120</v>
      </c>
      <c r="F19" s="8">
        <v>0</v>
      </c>
      <c r="G19" s="8">
        <f t="shared" si="0"/>
        <v>60</v>
      </c>
      <c r="H19" s="16" t="s">
        <v>99</v>
      </c>
    </row>
    <row r="20" spans="2:8" ht="29.4" thickBot="1" x14ac:dyDescent="0.35">
      <c r="B20" s="18" t="s">
        <v>86</v>
      </c>
      <c r="C20" s="19">
        <f>SUM(C5:C19)</f>
        <v>164</v>
      </c>
      <c r="D20" s="19">
        <f>SUM(D5:D19)</f>
        <v>158</v>
      </c>
      <c r="E20" s="19">
        <f>SUM(E5:E19)</f>
        <v>322</v>
      </c>
      <c r="F20" s="19">
        <f t="shared" ref="F20:G20" si="1">SUM(F5:F19)</f>
        <v>78</v>
      </c>
      <c r="G20" s="19">
        <f t="shared" si="1"/>
        <v>86</v>
      </c>
      <c r="H20" s="20" t="s">
        <v>100</v>
      </c>
    </row>
    <row r="24" spans="2:8" ht="15" thickBot="1" x14ac:dyDescent="0.35"/>
    <row r="25" spans="2:8" x14ac:dyDescent="0.3">
      <c r="B25" s="22" t="s">
        <v>89</v>
      </c>
      <c r="C25" s="11"/>
      <c r="D25" s="11"/>
      <c r="E25" s="11"/>
      <c r="F25" s="11"/>
      <c r="G25" s="11"/>
      <c r="H25" s="12"/>
    </row>
    <row r="26" spans="2:8" x14ac:dyDescent="0.3">
      <c r="B26" s="13" t="s">
        <v>87</v>
      </c>
      <c r="C26" s="9" t="s">
        <v>46</v>
      </c>
      <c r="D26" s="9" t="s">
        <v>47</v>
      </c>
      <c r="E26" s="9" t="s">
        <v>85</v>
      </c>
      <c r="F26" s="9" t="s">
        <v>92</v>
      </c>
      <c r="G26" s="9" t="s">
        <v>93</v>
      </c>
      <c r="H26" s="14" t="s">
        <v>94</v>
      </c>
    </row>
    <row r="27" spans="2:8" x14ac:dyDescent="0.3">
      <c r="B27" s="15" t="s">
        <v>62</v>
      </c>
      <c r="C27" s="8">
        <v>7</v>
      </c>
      <c r="D27" s="8">
        <v>11</v>
      </c>
      <c r="E27" s="8">
        <v>18</v>
      </c>
      <c r="F27" s="8">
        <v>0</v>
      </c>
      <c r="G27" s="8">
        <f t="shared" ref="G27:G34" si="2">C27-F27</f>
        <v>7</v>
      </c>
      <c r="H27" s="17" t="s">
        <v>105</v>
      </c>
    </row>
    <row r="28" spans="2:8" x14ac:dyDescent="0.3">
      <c r="B28" s="23" t="s">
        <v>70</v>
      </c>
      <c r="C28" s="21">
        <v>3</v>
      </c>
      <c r="D28" s="21">
        <v>5</v>
      </c>
      <c r="E28" s="21">
        <v>8</v>
      </c>
      <c r="F28" s="21"/>
      <c r="G28" s="21">
        <f t="shared" si="2"/>
        <v>3</v>
      </c>
      <c r="H28" s="24" t="s">
        <v>102</v>
      </c>
    </row>
    <row r="29" spans="2:8" ht="28.8" x14ac:dyDescent="0.3">
      <c r="B29" s="15" t="s">
        <v>68</v>
      </c>
      <c r="C29" s="8">
        <v>28</v>
      </c>
      <c r="D29" s="8">
        <v>25</v>
      </c>
      <c r="E29" s="8">
        <v>53</v>
      </c>
      <c r="F29" s="8">
        <v>6</v>
      </c>
      <c r="G29" s="8">
        <f t="shared" si="2"/>
        <v>22</v>
      </c>
      <c r="H29" s="25" t="s">
        <v>107</v>
      </c>
    </row>
    <row r="30" spans="2:8" x14ac:dyDescent="0.3">
      <c r="B30" s="15" t="s">
        <v>66</v>
      </c>
      <c r="C30" s="8">
        <v>3</v>
      </c>
      <c r="D30" s="8">
        <v>3</v>
      </c>
      <c r="E30" s="8">
        <v>6</v>
      </c>
      <c r="F30" s="8">
        <v>0</v>
      </c>
      <c r="G30" s="8">
        <f t="shared" si="2"/>
        <v>3</v>
      </c>
      <c r="H30" s="17"/>
    </row>
    <row r="31" spans="2:8" x14ac:dyDescent="0.3">
      <c r="B31" s="15" t="s">
        <v>64</v>
      </c>
      <c r="C31" s="8">
        <v>9</v>
      </c>
      <c r="D31" s="8">
        <v>9</v>
      </c>
      <c r="E31" s="8">
        <v>18</v>
      </c>
      <c r="F31" s="8">
        <v>2</v>
      </c>
      <c r="G31" s="8">
        <f t="shared" si="2"/>
        <v>7</v>
      </c>
      <c r="H31" s="17"/>
    </row>
    <row r="32" spans="2:8" x14ac:dyDescent="0.3">
      <c r="B32" s="15" t="s">
        <v>65</v>
      </c>
      <c r="C32" s="8">
        <v>13</v>
      </c>
      <c r="D32" s="8">
        <v>13</v>
      </c>
      <c r="E32" s="8">
        <v>26</v>
      </c>
      <c r="F32" s="8">
        <v>13</v>
      </c>
      <c r="G32" s="8">
        <f t="shared" si="2"/>
        <v>0</v>
      </c>
      <c r="H32" s="17"/>
    </row>
    <row r="33" spans="2:8" x14ac:dyDescent="0.3">
      <c r="B33" s="15" t="s">
        <v>67</v>
      </c>
      <c r="C33" s="8">
        <v>6</v>
      </c>
      <c r="D33" s="8">
        <v>3</v>
      </c>
      <c r="E33" s="8">
        <v>9</v>
      </c>
      <c r="F33" s="8">
        <v>0</v>
      </c>
      <c r="G33" s="8">
        <f t="shared" si="2"/>
        <v>6</v>
      </c>
      <c r="H33" s="17"/>
    </row>
    <row r="34" spans="2:8" x14ac:dyDescent="0.3">
      <c r="B34" s="23" t="s">
        <v>71</v>
      </c>
      <c r="C34" s="21"/>
      <c r="D34" s="21">
        <v>3</v>
      </c>
      <c r="E34" s="21">
        <v>3</v>
      </c>
      <c r="F34" s="21"/>
      <c r="G34" s="21">
        <f t="shared" si="2"/>
        <v>0</v>
      </c>
      <c r="H34" s="24" t="s">
        <v>103</v>
      </c>
    </row>
    <row r="35" spans="2:8" x14ac:dyDescent="0.3">
      <c r="B35" s="15" t="s">
        <v>63</v>
      </c>
      <c r="C35" s="8">
        <v>22</v>
      </c>
      <c r="D35" s="8">
        <v>23</v>
      </c>
      <c r="E35" s="8">
        <v>45</v>
      </c>
      <c r="F35" s="8">
        <v>18</v>
      </c>
      <c r="G35" s="8">
        <f>C35-F35</f>
        <v>4</v>
      </c>
      <c r="H35" s="17"/>
    </row>
    <row r="36" spans="2:8" ht="28.8" x14ac:dyDescent="0.3">
      <c r="B36" s="15" t="s">
        <v>69</v>
      </c>
      <c r="C36" s="8">
        <v>11</v>
      </c>
      <c r="D36" s="8">
        <v>7</v>
      </c>
      <c r="E36" s="8">
        <v>18</v>
      </c>
      <c r="F36" s="8">
        <v>0</v>
      </c>
      <c r="G36" s="8">
        <f t="shared" ref="G36" si="3">C36-F36</f>
        <v>11</v>
      </c>
      <c r="H36" s="25" t="s">
        <v>106</v>
      </c>
    </row>
    <row r="37" spans="2:8" ht="15" thickBot="1" x14ac:dyDescent="0.35">
      <c r="B37" s="18" t="s">
        <v>85</v>
      </c>
      <c r="C37" s="19">
        <f t="shared" ref="C37:G37" si="4">SUM(C22:C36)</f>
        <v>102</v>
      </c>
      <c r="D37" s="19">
        <f t="shared" si="4"/>
        <v>102</v>
      </c>
      <c r="E37" s="19">
        <f t="shared" si="4"/>
        <v>204</v>
      </c>
      <c r="F37" s="19">
        <f t="shared" si="4"/>
        <v>39</v>
      </c>
      <c r="G37" s="19">
        <f t="shared" si="4"/>
        <v>63</v>
      </c>
      <c r="H37" s="26" t="s">
        <v>104</v>
      </c>
    </row>
    <row r="42" spans="2:8" ht="15" thickBot="1" x14ac:dyDescent="0.35"/>
    <row r="43" spans="2:8" x14ac:dyDescent="0.3">
      <c r="B43" s="22" t="s">
        <v>90</v>
      </c>
      <c r="C43" s="11"/>
      <c r="D43" s="11"/>
      <c r="E43" s="11"/>
      <c r="F43" s="11"/>
      <c r="G43" s="11"/>
      <c r="H43" s="12"/>
    </row>
    <row r="44" spans="2:8" x14ac:dyDescent="0.3">
      <c r="B44" s="28" t="s">
        <v>87</v>
      </c>
      <c r="C44" s="9" t="s">
        <v>46</v>
      </c>
      <c r="D44" s="9" t="s">
        <v>47</v>
      </c>
      <c r="E44" s="9" t="s">
        <v>85</v>
      </c>
      <c r="F44" s="9" t="s">
        <v>92</v>
      </c>
      <c r="G44" s="9" t="s">
        <v>93</v>
      </c>
      <c r="H44" s="14" t="s">
        <v>94</v>
      </c>
    </row>
    <row r="45" spans="2:8" x14ac:dyDescent="0.3">
      <c r="B45" s="15" t="s">
        <v>72</v>
      </c>
      <c r="C45" s="8">
        <v>13</v>
      </c>
      <c r="D45" s="8">
        <v>9</v>
      </c>
      <c r="E45" s="8">
        <v>22</v>
      </c>
      <c r="F45" s="8">
        <v>4</v>
      </c>
      <c r="G45" s="8">
        <f t="shared" ref="G45:G59" si="5">C45-F45</f>
        <v>9</v>
      </c>
      <c r="H45" s="17" t="s">
        <v>113</v>
      </c>
    </row>
    <row r="46" spans="2:8" x14ac:dyDescent="0.3">
      <c r="B46" s="15" t="s">
        <v>77</v>
      </c>
      <c r="C46" s="8">
        <v>12</v>
      </c>
      <c r="D46" s="8">
        <v>12</v>
      </c>
      <c r="E46" s="8">
        <v>24</v>
      </c>
      <c r="F46" s="8"/>
      <c r="G46" s="8">
        <f t="shared" si="5"/>
        <v>12</v>
      </c>
      <c r="H46" s="29" t="s">
        <v>109</v>
      </c>
    </row>
    <row r="47" spans="2:8" x14ac:dyDescent="0.3">
      <c r="B47" s="15" t="s">
        <v>44</v>
      </c>
      <c r="C47" s="8">
        <v>7</v>
      </c>
      <c r="D47" s="8">
        <v>4</v>
      </c>
      <c r="E47" s="8">
        <v>11</v>
      </c>
      <c r="F47" s="8">
        <v>6</v>
      </c>
      <c r="G47" s="8">
        <f t="shared" si="5"/>
        <v>1</v>
      </c>
      <c r="H47" s="17" t="s">
        <v>114</v>
      </c>
    </row>
    <row r="48" spans="2:8" ht="28.8" x14ac:dyDescent="0.3">
      <c r="B48" s="15" t="s">
        <v>75</v>
      </c>
      <c r="C48" s="8">
        <v>20</v>
      </c>
      <c r="D48" s="8">
        <v>19</v>
      </c>
      <c r="E48" s="8">
        <v>39</v>
      </c>
      <c r="F48" s="8">
        <v>11</v>
      </c>
      <c r="G48" s="8">
        <f t="shared" si="5"/>
        <v>9</v>
      </c>
      <c r="H48" s="25" t="s">
        <v>115</v>
      </c>
    </row>
    <row r="49" spans="2:8" x14ac:dyDescent="0.3">
      <c r="B49" s="15" t="s">
        <v>76</v>
      </c>
      <c r="C49" s="8">
        <v>22</v>
      </c>
      <c r="D49" s="8">
        <v>21</v>
      </c>
      <c r="E49" s="8">
        <v>43</v>
      </c>
      <c r="F49" s="8"/>
      <c r="G49" s="8">
        <f t="shared" si="5"/>
        <v>22</v>
      </c>
      <c r="H49" s="29" t="s">
        <v>109</v>
      </c>
    </row>
    <row r="50" spans="2:8" x14ac:dyDescent="0.3">
      <c r="B50" s="15" t="s">
        <v>74</v>
      </c>
      <c r="C50" s="8">
        <v>14</v>
      </c>
      <c r="D50" s="8">
        <v>12</v>
      </c>
      <c r="E50" s="8">
        <v>26</v>
      </c>
      <c r="F50" s="8">
        <v>10</v>
      </c>
      <c r="G50" s="8">
        <f t="shared" si="5"/>
        <v>4</v>
      </c>
      <c r="H50" s="17" t="s">
        <v>95</v>
      </c>
    </row>
    <row r="51" spans="2:8" x14ac:dyDescent="0.3">
      <c r="B51" s="23" t="s">
        <v>84</v>
      </c>
      <c r="C51" s="21"/>
      <c r="D51" s="21">
        <v>1</v>
      </c>
      <c r="E51" s="21">
        <v>1</v>
      </c>
      <c r="F51" s="21"/>
      <c r="G51" s="21">
        <f t="shared" si="5"/>
        <v>0</v>
      </c>
      <c r="H51" s="24" t="s">
        <v>110</v>
      </c>
    </row>
    <row r="52" spans="2:8" x14ac:dyDescent="0.3">
      <c r="B52" s="23" t="s">
        <v>82</v>
      </c>
      <c r="C52" s="21"/>
      <c r="D52" s="21">
        <v>2</v>
      </c>
      <c r="E52" s="21">
        <v>2</v>
      </c>
      <c r="F52" s="21"/>
      <c r="G52" s="21">
        <f t="shared" si="5"/>
        <v>0</v>
      </c>
      <c r="H52" s="24" t="s">
        <v>111</v>
      </c>
    </row>
    <row r="53" spans="2:8" x14ac:dyDescent="0.3">
      <c r="B53" s="15" t="s">
        <v>78</v>
      </c>
      <c r="C53" s="8">
        <v>6</v>
      </c>
      <c r="D53" s="8">
        <v>8</v>
      </c>
      <c r="E53" s="8">
        <v>14</v>
      </c>
      <c r="F53" s="8">
        <v>10</v>
      </c>
      <c r="G53" s="8">
        <f t="shared" si="5"/>
        <v>-4</v>
      </c>
      <c r="H53" s="17"/>
    </row>
    <row r="54" spans="2:8" x14ac:dyDescent="0.3">
      <c r="B54" s="23" t="s">
        <v>81</v>
      </c>
      <c r="C54" s="21">
        <v>1</v>
      </c>
      <c r="D54" s="21">
        <v>1</v>
      </c>
      <c r="E54" s="21">
        <v>2</v>
      </c>
      <c r="F54" s="21"/>
      <c r="G54" s="21">
        <f t="shared" si="5"/>
        <v>1</v>
      </c>
      <c r="H54" s="24" t="s">
        <v>110</v>
      </c>
    </row>
    <row r="55" spans="2:8" x14ac:dyDescent="0.3">
      <c r="B55" s="15" t="s">
        <v>73</v>
      </c>
      <c r="C55" s="8">
        <v>6</v>
      </c>
      <c r="D55" s="8">
        <v>6</v>
      </c>
      <c r="E55" s="8">
        <v>12</v>
      </c>
      <c r="F55" s="8"/>
      <c r="G55" s="8">
        <f t="shared" si="5"/>
        <v>6</v>
      </c>
      <c r="H55" s="29" t="s">
        <v>109</v>
      </c>
    </row>
    <row r="56" spans="2:8" x14ac:dyDescent="0.3">
      <c r="B56" s="23" t="s">
        <v>80</v>
      </c>
      <c r="C56" s="21">
        <v>5</v>
      </c>
      <c r="D56" s="21">
        <v>6</v>
      </c>
      <c r="E56" s="21">
        <v>11</v>
      </c>
      <c r="F56" s="21"/>
      <c r="G56" s="21">
        <f t="shared" si="5"/>
        <v>5</v>
      </c>
      <c r="H56" s="24" t="s">
        <v>96</v>
      </c>
    </row>
    <row r="57" spans="2:8" x14ac:dyDescent="0.3">
      <c r="B57" s="15" t="s">
        <v>79</v>
      </c>
      <c r="C57" s="8">
        <v>1</v>
      </c>
      <c r="D57" s="8"/>
      <c r="E57" s="8">
        <v>1</v>
      </c>
      <c r="F57" s="8"/>
      <c r="G57" s="8">
        <f t="shared" si="5"/>
        <v>1</v>
      </c>
      <c r="H57" s="29" t="s">
        <v>109</v>
      </c>
    </row>
    <row r="58" spans="2:8" x14ac:dyDescent="0.3">
      <c r="B58" s="23" t="s">
        <v>83</v>
      </c>
      <c r="C58" s="21"/>
      <c r="D58" s="21">
        <v>1</v>
      </c>
      <c r="E58" s="21">
        <v>1</v>
      </c>
      <c r="F58" s="21"/>
      <c r="G58" s="21">
        <f t="shared" si="5"/>
        <v>0</v>
      </c>
      <c r="H58" s="24" t="s">
        <v>111</v>
      </c>
    </row>
    <row r="59" spans="2:8" x14ac:dyDescent="0.3">
      <c r="B59" s="15" t="s">
        <v>91</v>
      </c>
      <c r="C59" s="8">
        <v>96</v>
      </c>
      <c r="D59" s="8">
        <v>96</v>
      </c>
      <c r="E59" s="8"/>
      <c r="F59" s="8">
        <v>86</v>
      </c>
      <c r="G59" s="27">
        <f t="shared" si="5"/>
        <v>10</v>
      </c>
      <c r="H59" s="17" t="s">
        <v>112</v>
      </c>
    </row>
    <row r="60" spans="2:8" ht="29.4" thickBot="1" x14ac:dyDescent="0.35">
      <c r="B60" s="18" t="s">
        <v>85</v>
      </c>
      <c r="C60" s="19">
        <f t="shared" ref="C60:E60" si="6">SUM(C44:C59)</f>
        <v>203</v>
      </c>
      <c r="D60" s="19">
        <f t="shared" si="6"/>
        <v>198</v>
      </c>
      <c r="E60" s="19">
        <f t="shared" si="6"/>
        <v>209</v>
      </c>
      <c r="F60" s="19">
        <f>SUM(F44:F59)</f>
        <v>127</v>
      </c>
      <c r="G60" s="19">
        <f t="shared" ref="G60" si="7">SUM(G44:G59)</f>
        <v>76</v>
      </c>
      <c r="H60" s="30" t="s">
        <v>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ée un document." ma:contentTypeScope="" ma:versionID="7a2915931200ea69f6d4702d545d15c4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ebf5164e0bbea30cbcbeb97056918f83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67EEF7-0270-4339-962C-8DAABA47C00E}">
  <ds:schemaRefs>
    <ds:schemaRef ds:uri="http://schemas.microsoft.com/office/2006/metadata/properties"/>
    <ds:schemaRef ds:uri="http://schemas.microsoft.com/office/infopath/2007/PartnerControls"/>
    <ds:schemaRef ds:uri="947c1918-d5ab-48a1-8b61-0d52f2f99fd1"/>
    <ds:schemaRef ds:uri="30973102-2308-455b-8e1f-b6a90edc3b23"/>
  </ds:schemaRefs>
</ds:datastoreItem>
</file>

<file path=customXml/itemProps2.xml><?xml version="1.0" encoding="utf-8"?>
<ds:datastoreItem xmlns:ds="http://schemas.openxmlformats.org/officeDocument/2006/customXml" ds:itemID="{02D557D9-D4FA-453C-B446-04630B35E1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B7FC31-52CF-4B61-AD67-190A70955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PHILPOTT</cp:lastModifiedBy>
  <dcterms:created xsi:type="dcterms:W3CDTF">2026-08-13T00:33:17Z</dcterms:created>
  <dcterms:modified xsi:type="dcterms:W3CDTF">2026-08-21T11:19:58Z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  <property fmtid="{D5CDD505-2E9C-101B-9397-08002B2CF9AE}" pid="3" name="MediaServiceImageTags">
    <vt:lpwstr/>
  </property>
</Properties>
</file>